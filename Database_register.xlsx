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mac/Downloads/GSTRIDE_database/"/>
    </mc:Choice>
  </mc:AlternateContent>
  <xr:revisionPtr revIDLastSave="0" documentId="13_ncr:1_{94D64AA9-8AE2-004B-AB9A-EE7403C9F539}" xr6:coauthVersionLast="47" xr6:coauthVersionMax="47" xr10:uidLastSave="{00000000-0000-0000-0000-000000000000}"/>
  <bookViews>
    <workbookView xWindow="6000" yWindow="3280" windowWidth="21000" windowHeight="12140" xr2:uid="{00000000-000D-0000-FFFF-FFFF00000000}"/>
  </bookViews>
  <sheets>
    <sheet name="PruebasGSTRID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46" i="1" l="1"/>
  <c r="W46" i="1" s="1"/>
  <c r="O47" i="1"/>
  <c r="W47" i="1" s="1"/>
  <c r="O48" i="1"/>
  <c r="W48" i="1" s="1"/>
  <c r="O49" i="1"/>
  <c r="W49" i="1" s="1"/>
  <c r="W143" i="1"/>
  <c r="W7" i="1"/>
  <c r="W8" i="1"/>
  <c r="AA4" i="1"/>
  <c r="AC4" i="1" s="1"/>
  <c r="R4" i="1"/>
  <c r="U4" i="1" s="1"/>
  <c r="O4" i="1"/>
  <c r="W4" i="1" s="1"/>
  <c r="Y4" i="1" l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O7" i="1" l="1"/>
  <c r="O150" i="1"/>
  <c r="W150" i="1" s="1"/>
  <c r="R150" i="1"/>
  <c r="U150" i="1" s="1"/>
  <c r="AC150" i="1"/>
  <c r="AC166" i="1"/>
  <c r="R166" i="1"/>
  <c r="U166" i="1" s="1"/>
  <c r="O166" i="1"/>
  <c r="W166" i="1" s="1"/>
  <c r="AC165" i="1"/>
  <c r="R165" i="1"/>
  <c r="U165" i="1" s="1"/>
  <c r="O165" i="1"/>
  <c r="W165" i="1" s="1"/>
  <c r="AC164" i="1"/>
  <c r="R164" i="1"/>
  <c r="U164" i="1" s="1"/>
  <c r="O164" i="1"/>
  <c r="W164" i="1" s="1"/>
  <c r="AC163" i="1"/>
  <c r="R163" i="1"/>
  <c r="U163" i="1" s="1"/>
  <c r="O163" i="1"/>
  <c r="W163" i="1" s="1"/>
  <c r="R145" i="1"/>
  <c r="U145" i="1" s="1"/>
  <c r="R146" i="1"/>
  <c r="U146" i="1" s="1"/>
  <c r="O145" i="1"/>
  <c r="W145" i="1" s="1"/>
  <c r="O146" i="1"/>
  <c r="W146" i="1" s="1"/>
  <c r="AC162" i="1"/>
  <c r="R162" i="1"/>
  <c r="U162" i="1" s="1"/>
  <c r="O162" i="1"/>
  <c r="W162" i="1" s="1"/>
  <c r="AC161" i="1"/>
  <c r="R161" i="1"/>
  <c r="U161" i="1" s="1"/>
  <c r="O161" i="1"/>
  <c r="W161" i="1" s="1"/>
  <c r="AC160" i="1"/>
  <c r="R160" i="1"/>
  <c r="U160" i="1" s="1"/>
  <c r="O160" i="1"/>
  <c r="W160" i="1" s="1"/>
  <c r="AC149" i="1"/>
  <c r="AC151" i="1"/>
  <c r="AC152" i="1"/>
  <c r="AC153" i="1"/>
  <c r="AC154" i="1"/>
  <c r="AC155" i="1"/>
  <c r="AC156" i="1"/>
  <c r="AC157" i="1"/>
  <c r="AC158" i="1"/>
  <c r="AC159" i="1"/>
  <c r="R149" i="1"/>
  <c r="U149" i="1" s="1"/>
  <c r="R151" i="1"/>
  <c r="U151" i="1" s="1"/>
  <c r="R152" i="1"/>
  <c r="U152" i="1" s="1"/>
  <c r="R153" i="1"/>
  <c r="U153" i="1" s="1"/>
  <c r="R154" i="1"/>
  <c r="U154" i="1" s="1"/>
  <c r="R155" i="1"/>
  <c r="U155" i="1" s="1"/>
  <c r="R156" i="1"/>
  <c r="U156" i="1" s="1"/>
  <c r="R157" i="1"/>
  <c r="U157" i="1" s="1"/>
  <c r="R158" i="1"/>
  <c r="U158" i="1" s="1"/>
  <c r="R159" i="1"/>
  <c r="U159" i="1" s="1"/>
  <c r="O149" i="1"/>
  <c r="W149" i="1" s="1"/>
  <c r="O151" i="1"/>
  <c r="W151" i="1" s="1"/>
  <c r="O152" i="1"/>
  <c r="W152" i="1" s="1"/>
  <c r="O153" i="1"/>
  <c r="W153" i="1" s="1"/>
  <c r="O154" i="1"/>
  <c r="W154" i="1" s="1"/>
  <c r="O155" i="1"/>
  <c r="W155" i="1" s="1"/>
  <c r="O156" i="1"/>
  <c r="W156" i="1" s="1"/>
  <c r="O157" i="1"/>
  <c r="W157" i="1" s="1"/>
  <c r="O158" i="1"/>
  <c r="W158" i="1" s="1"/>
  <c r="O159" i="1"/>
  <c r="W159" i="1" s="1"/>
  <c r="AC148" i="1"/>
  <c r="R148" i="1"/>
  <c r="U148" i="1" s="1"/>
  <c r="O148" i="1"/>
  <c r="W148" i="1" s="1"/>
  <c r="AC147" i="1"/>
  <c r="R147" i="1"/>
  <c r="U147" i="1" s="1"/>
  <c r="O147" i="1"/>
  <c r="W147" i="1" s="1"/>
  <c r="AC144" i="1"/>
  <c r="R144" i="1"/>
  <c r="U144" i="1" s="1"/>
  <c r="O144" i="1"/>
  <c r="W144" i="1" s="1"/>
  <c r="R138" i="1"/>
  <c r="U138" i="1" s="1"/>
  <c r="R139" i="1"/>
  <c r="U139" i="1" s="1"/>
  <c r="R140" i="1"/>
  <c r="U140" i="1" s="1"/>
  <c r="R141" i="1"/>
  <c r="U141" i="1" s="1"/>
  <c r="R142" i="1"/>
  <c r="U142" i="1" s="1"/>
  <c r="R143" i="1"/>
  <c r="U143" i="1" s="1"/>
  <c r="O138" i="1"/>
  <c r="W138" i="1" s="1"/>
  <c r="O139" i="1"/>
  <c r="W139" i="1" s="1"/>
  <c r="O140" i="1"/>
  <c r="W140" i="1" s="1"/>
  <c r="O141" i="1"/>
  <c r="W141" i="1" s="1"/>
  <c r="O142" i="1"/>
  <c r="W142" i="1" s="1"/>
  <c r="O143" i="1"/>
  <c r="AC138" i="1"/>
  <c r="AC139" i="1"/>
  <c r="AC140" i="1"/>
  <c r="AC141" i="1"/>
  <c r="AC142" i="1"/>
  <c r="AC143" i="1"/>
  <c r="AC145" i="1"/>
  <c r="AC146" i="1"/>
  <c r="AC5" i="1"/>
  <c r="R5" i="1"/>
  <c r="U5" i="1" s="1"/>
  <c r="O5" i="1"/>
  <c r="W5" i="1" s="1"/>
  <c r="AC45" i="1"/>
  <c r="AC46" i="1"/>
  <c r="AC47" i="1"/>
  <c r="AC48" i="1"/>
  <c r="AC49" i="1"/>
  <c r="AC50" i="1"/>
  <c r="R45" i="1"/>
  <c r="U45" i="1" s="1"/>
  <c r="R46" i="1"/>
  <c r="U46" i="1" s="1"/>
  <c r="R47" i="1"/>
  <c r="U47" i="1" s="1"/>
  <c r="R48" i="1"/>
  <c r="U48" i="1" s="1"/>
  <c r="R49" i="1"/>
  <c r="U49" i="1" s="1"/>
  <c r="R50" i="1"/>
  <c r="U50" i="1" s="1"/>
  <c r="R51" i="1"/>
  <c r="U51" i="1" s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R108" i="1"/>
  <c r="U108" i="1" s="1"/>
  <c r="R109" i="1"/>
  <c r="U109" i="1" s="1"/>
  <c r="R110" i="1"/>
  <c r="U110" i="1" s="1"/>
  <c r="R111" i="1"/>
  <c r="U111" i="1" s="1"/>
  <c r="R112" i="1"/>
  <c r="U112" i="1" s="1"/>
  <c r="R113" i="1"/>
  <c r="U113" i="1" s="1"/>
  <c r="R114" i="1"/>
  <c r="U114" i="1" s="1"/>
  <c r="R115" i="1"/>
  <c r="U115" i="1" s="1"/>
  <c r="R116" i="1"/>
  <c r="U116" i="1" s="1"/>
  <c r="R117" i="1"/>
  <c r="U117" i="1" s="1"/>
  <c r="R118" i="1"/>
  <c r="U118" i="1" s="1"/>
  <c r="R119" i="1"/>
  <c r="U119" i="1" s="1"/>
  <c r="R120" i="1"/>
  <c r="U120" i="1" s="1"/>
  <c r="R121" i="1"/>
  <c r="U121" i="1" s="1"/>
  <c r="R122" i="1"/>
  <c r="U122" i="1" s="1"/>
  <c r="R123" i="1"/>
  <c r="U123" i="1" s="1"/>
  <c r="R124" i="1"/>
  <c r="U124" i="1" s="1"/>
  <c r="R125" i="1"/>
  <c r="U125" i="1" s="1"/>
  <c r="R126" i="1"/>
  <c r="U126" i="1" s="1"/>
  <c r="R127" i="1"/>
  <c r="U127" i="1" s="1"/>
  <c r="R128" i="1"/>
  <c r="U128" i="1" s="1"/>
  <c r="R129" i="1"/>
  <c r="U129" i="1" s="1"/>
  <c r="R130" i="1"/>
  <c r="U130" i="1" s="1"/>
  <c r="R131" i="1"/>
  <c r="U131" i="1" s="1"/>
  <c r="R132" i="1"/>
  <c r="U132" i="1" s="1"/>
  <c r="R133" i="1"/>
  <c r="U133" i="1" s="1"/>
  <c r="R134" i="1"/>
  <c r="U134" i="1" s="1"/>
  <c r="R135" i="1"/>
  <c r="U135" i="1" s="1"/>
  <c r="R136" i="1"/>
  <c r="U136" i="1" s="1"/>
  <c r="R137" i="1"/>
  <c r="U137" i="1" s="1"/>
  <c r="O103" i="1"/>
  <c r="W103" i="1" s="1"/>
  <c r="O104" i="1"/>
  <c r="W104" i="1" s="1"/>
  <c r="O105" i="1"/>
  <c r="W105" i="1" s="1"/>
  <c r="O106" i="1"/>
  <c r="W106" i="1" s="1"/>
  <c r="O107" i="1"/>
  <c r="W107" i="1" s="1"/>
  <c r="O108" i="1"/>
  <c r="W108" i="1" s="1"/>
  <c r="O109" i="1"/>
  <c r="W109" i="1" s="1"/>
  <c r="O110" i="1"/>
  <c r="W110" i="1" s="1"/>
  <c r="O111" i="1"/>
  <c r="W111" i="1" s="1"/>
  <c r="O112" i="1"/>
  <c r="W112" i="1" s="1"/>
  <c r="O113" i="1"/>
  <c r="W113" i="1" s="1"/>
  <c r="O114" i="1"/>
  <c r="W114" i="1" s="1"/>
  <c r="O115" i="1"/>
  <c r="W115" i="1" s="1"/>
  <c r="O116" i="1"/>
  <c r="W116" i="1" s="1"/>
  <c r="O117" i="1"/>
  <c r="W117" i="1" s="1"/>
  <c r="O118" i="1"/>
  <c r="W118" i="1" s="1"/>
  <c r="O119" i="1"/>
  <c r="W119" i="1" s="1"/>
  <c r="O120" i="1"/>
  <c r="W120" i="1" s="1"/>
  <c r="O121" i="1"/>
  <c r="W121" i="1" s="1"/>
  <c r="O122" i="1"/>
  <c r="W122" i="1" s="1"/>
  <c r="O123" i="1"/>
  <c r="W123" i="1" s="1"/>
  <c r="O124" i="1"/>
  <c r="W124" i="1" s="1"/>
  <c r="O125" i="1"/>
  <c r="W125" i="1" s="1"/>
  <c r="O126" i="1"/>
  <c r="W126" i="1" s="1"/>
  <c r="O127" i="1"/>
  <c r="W127" i="1" s="1"/>
  <c r="O128" i="1"/>
  <c r="W128" i="1" s="1"/>
  <c r="O129" i="1"/>
  <c r="W129" i="1" s="1"/>
  <c r="O130" i="1"/>
  <c r="W130" i="1" s="1"/>
  <c r="O131" i="1"/>
  <c r="W131" i="1" s="1"/>
  <c r="O132" i="1"/>
  <c r="W132" i="1" s="1"/>
  <c r="O133" i="1"/>
  <c r="W133" i="1" s="1"/>
  <c r="O134" i="1"/>
  <c r="W134" i="1" s="1"/>
  <c r="O135" i="1"/>
  <c r="W135" i="1" s="1"/>
  <c r="O136" i="1"/>
  <c r="W136" i="1" s="1"/>
  <c r="O137" i="1"/>
  <c r="W137" i="1" s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R83" i="1"/>
  <c r="U83" i="1" s="1"/>
  <c r="R84" i="1"/>
  <c r="U84" i="1" s="1"/>
  <c r="R85" i="1"/>
  <c r="U85" i="1" s="1"/>
  <c r="R86" i="1"/>
  <c r="U86" i="1" s="1"/>
  <c r="R87" i="1"/>
  <c r="U87" i="1" s="1"/>
  <c r="R88" i="1"/>
  <c r="U88" i="1" s="1"/>
  <c r="R89" i="1"/>
  <c r="U89" i="1" s="1"/>
  <c r="R90" i="1"/>
  <c r="U90" i="1" s="1"/>
  <c r="R91" i="1"/>
  <c r="U91" i="1" s="1"/>
  <c r="R92" i="1"/>
  <c r="U92" i="1" s="1"/>
  <c r="O82" i="1"/>
  <c r="W82" i="1" s="1"/>
  <c r="O83" i="1"/>
  <c r="W83" i="1" s="1"/>
  <c r="O84" i="1"/>
  <c r="W84" i="1" s="1"/>
  <c r="O85" i="1"/>
  <c r="W85" i="1" s="1"/>
  <c r="O86" i="1"/>
  <c r="W86" i="1" s="1"/>
  <c r="O87" i="1"/>
  <c r="W87" i="1" s="1"/>
  <c r="O88" i="1"/>
  <c r="W88" i="1" s="1"/>
  <c r="O89" i="1"/>
  <c r="W89" i="1" s="1"/>
  <c r="O90" i="1"/>
  <c r="W90" i="1" s="1"/>
  <c r="O91" i="1"/>
  <c r="W91" i="1" s="1"/>
  <c r="O92" i="1"/>
  <c r="W92" i="1" s="1"/>
  <c r="O93" i="1"/>
  <c r="W93" i="1" s="1"/>
  <c r="O94" i="1"/>
  <c r="W94" i="1" s="1"/>
  <c r="O95" i="1"/>
  <c r="W95" i="1" s="1"/>
  <c r="O96" i="1"/>
  <c r="W96" i="1" s="1"/>
  <c r="O97" i="1"/>
  <c r="W97" i="1" s="1"/>
  <c r="O98" i="1"/>
  <c r="W98" i="1" s="1"/>
  <c r="O99" i="1"/>
  <c r="W99" i="1" s="1"/>
  <c r="O100" i="1"/>
  <c r="W100" i="1" s="1"/>
  <c r="O101" i="1"/>
  <c r="W101" i="1" s="1"/>
  <c r="O102" i="1"/>
  <c r="W102" i="1" s="1"/>
  <c r="R82" i="1"/>
  <c r="U82" i="1" s="1"/>
  <c r="R93" i="1"/>
  <c r="U93" i="1" s="1"/>
  <c r="R94" i="1"/>
  <c r="U94" i="1" s="1"/>
  <c r="R95" i="1"/>
  <c r="U95" i="1" s="1"/>
  <c r="R96" i="1"/>
  <c r="U96" i="1" s="1"/>
  <c r="R97" i="1"/>
  <c r="U97" i="1" s="1"/>
  <c r="R98" i="1"/>
  <c r="U98" i="1" s="1"/>
  <c r="R99" i="1"/>
  <c r="U99" i="1" s="1"/>
  <c r="R100" i="1"/>
  <c r="U100" i="1" s="1"/>
  <c r="R101" i="1"/>
  <c r="U101" i="1" s="1"/>
  <c r="R102" i="1"/>
  <c r="U102" i="1" s="1"/>
  <c r="R103" i="1"/>
  <c r="U103" i="1" s="1"/>
  <c r="Y103" i="1" s="1"/>
  <c r="R104" i="1"/>
  <c r="U104" i="1" s="1"/>
  <c r="R105" i="1"/>
  <c r="U105" i="1" s="1"/>
  <c r="R106" i="1"/>
  <c r="U106" i="1" s="1"/>
  <c r="R107" i="1"/>
  <c r="U107" i="1" s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2" i="1"/>
  <c r="AC23" i="1"/>
  <c r="AC24" i="1"/>
  <c r="AC25" i="1"/>
  <c r="AC26" i="1"/>
  <c r="AC27" i="1"/>
  <c r="AC28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R6" i="1"/>
  <c r="U6" i="1" s="1"/>
  <c r="R7" i="1"/>
  <c r="U7" i="1" s="1"/>
  <c r="Y7" i="1" s="1"/>
  <c r="R8" i="1"/>
  <c r="U8" i="1" s="1"/>
  <c r="Y8" i="1" s="1"/>
  <c r="R9" i="1"/>
  <c r="U9" i="1" s="1"/>
  <c r="R10" i="1"/>
  <c r="U10" i="1" s="1"/>
  <c r="R11" i="1"/>
  <c r="U11" i="1" s="1"/>
  <c r="R12" i="1"/>
  <c r="U12" i="1" s="1"/>
  <c r="R13" i="1"/>
  <c r="U13" i="1" s="1"/>
  <c r="R14" i="1"/>
  <c r="U14" i="1" s="1"/>
  <c r="R15" i="1"/>
  <c r="U15" i="1" s="1"/>
  <c r="R16" i="1"/>
  <c r="U16" i="1" s="1"/>
  <c r="R17" i="1"/>
  <c r="U17" i="1" s="1"/>
  <c r="R18" i="1"/>
  <c r="U18" i="1" s="1"/>
  <c r="R19" i="1"/>
  <c r="U19" i="1" s="1"/>
  <c r="R20" i="1"/>
  <c r="U20" i="1" s="1"/>
  <c r="R21" i="1"/>
  <c r="U21" i="1" s="1"/>
  <c r="R22" i="1"/>
  <c r="U22" i="1" s="1"/>
  <c r="R23" i="1"/>
  <c r="U23" i="1" s="1"/>
  <c r="R24" i="1"/>
  <c r="U24" i="1" s="1"/>
  <c r="R25" i="1"/>
  <c r="U25" i="1" s="1"/>
  <c r="R26" i="1"/>
  <c r="U26" i="1" s="1"/>
  <c r="R27" i="1"/>
  <c r="U27" i="1" s="1"/>
  <c r="R28" i="1"/>
  <c r="U28" i="1" s="1"/>
  <c r="R29" i="1"/>
  <c r="U29" i="1" s="1"/>
  <c r="R30" i="1"/>
  <c r="U30" i="1" s="1"/>
  <c r="R31" i="1"/>
  <c r="U31" i="1" s="1"/>
  <c r="R32" i="1"/>
  <c r="U32" i="1" s="1"/>
  <c r="R33" i="1"/>
  <c r="U33" i="1" s="1"/>
  <c r="R34" i="1"/>
  <c r="U34" i="1" s="1"/>
  <c r="R35" i="1"/>
  <c r="U35" i="1" s="1"/>
  <c r="R36" i="1"/>
  <c r="U36" i="1" s="1"/>
  <c r="R37" i="1"/>
  <c r="U37" i="1" s="1"/>
  <c r="R38" i="1"/>
  <c r="U38" i="1" s="1"/>
  <c r="R39" i="1"/>
  <c r="U39" i="1" s="1"/>
  <c r="R40" i="1"/>
  <c r="U40" i="1" s="1"/>
  <c r="R41" i="1"/>
  <c r="U41" i="1" s="1"/>
  <c r="R42" i="1"/>
  <c r="U42" i="1" s="1"/>
  <c r="R43" i="1"/>
  <c r="U43" i="1" s="1"/>
  <c r="R44" i="1"/>
  <c r="U44" i="1" s="1"/>
  <c r="R52" i="1"/>
  <c r="U52" i="1" s="1"/>
  <c r="R53" i="1"/>
  <c r="U53" i="1" s="1"/>
  <c r="R54" i="1"/>
  <c r="U54" i="1" s="1"/>
  <c r="R55" i="1"/>
  <c r="U55" i="1" s="1"/>
  <c r="R56" i="1"/>
  <c r="U56" i="1" s="1"/>
  <c r="R57" i="1"/>
  <c r="U57" i="1" s="1"/>
  <c r="R58" i="1"/>
  <c r="U58" i="1" s="1"/>
  <c r="R59" i="1"/>
  <c r="U59" i="1" s="1"/>
  <c r="R60" i="1"/>
  <c r="U60" i="1" s="1"/>
  <c r="R61" i="1"/>
  <c r="U61" i="1" s="1"/>
  <c r="R62" i="1"/>
  <c r="U62" i="1" s="1"/>
  <c r="R63" i="1"/>
  <c r="U63" i="1" s="1"/>
  <c r="R64" i="1"/>
  <c r="U64" i="1" s="1"/>
  <c r="R65" i="1"/>
  <c r="U65" i="1" s="1"/>
  <c r="R66" i="1"/>
  <c r="U66" i="1" s="1"/>
  <c r="R67" i="1"/>
  <c r="U67" i="1" s="1"/>
  <c r="R68" i="1"/>
  <c r="U68" i="1" s="1"/>
  <c r="R69" i="1"/>
  <c r="U69" i="1" s="1"/>
  <c r="R70" i="1"/>
  <c r="U70" i="1" s="1"/>
  <c r="R71" i="1"/>
  <c r="U71" i="1" s="1"/>
  <c r="R72" i="1"/>
  <c r="U72" i="1" s="1"/>
  <c r="R73" i="1"/>
  <c r="U73" i="1" s="1"/>
  <c r="R74" i="1"/>
  <c r="U74" i="1" s="1"/>
  <c r="R75" i="1"/>
  <c r="U75" i="1" s="1"/>
  <c r="R76" i="1"/>
  <c r="U76" i="1" s="1"/>
  <c r="R77" i="1"/>
  <c r="U77" i="1" s="1"/>
  <c r="R78" i="1"/>
  <c r="U78" i="1" s="1"/>
  <c r="R79" i="1"/>
  <c r="U79" i="1" s="1"/>
  <c r="R80" i="1"/>
  <c r="U80" i="1" s="1"/>
  <c r="R81" i="1"/>
  <c r="U81" i="1" s="1"/>
  <c r="O6" i="1"/>
  <c r="W6" i="1" s="1"/>
  <c r="O8" i="1"/>
  <c r="O9" i="1"/>
  <c r="O10" i="1"/>
  <c r="O11" i="1"/>
  <c r="O12" i="1"/>
  <c r="W12" i="1" s="1"/>
  <c r="O13" i="1"/>
  <c r="O14" i="1"/>
  <c r="O15" i="1"/>
  <c r="O16" i="1"/>
  <c r="W16" i="1" s="1"/>
  <c r="O17" i="1"/>
  <c r="O18" i="1"/>
  <c r="O19" i="1"/>
  <c r="O20" i="1"/>
  <c r="W20" i="1" s="1"/>
  <c r="O21" i="1"/>
  <c r="O22" i="1"/>
  <c r="O23" i="1"/>
  <c r="O24" i="1"/>
  <c r="W24" i="1" s="1"/>
  <c r="O25" i="1"/>
  <c r="W25" i="1" s="1"/>
  <c r="O26" i="1"/>
  <c r="W26" i="1" s="1"/>
  <c r="O27" i="1"/>
  <c r="W27" i="1" s="1"/>
  <c r="O28" i="1"/>
  <c r="W28" i="1" s="1"/>
  <c r="O29" i="1"/>
  <c r="W29" i="1" s="1"/>
  <c r="O30" i="1"/>
  <c r="W30" i="1" s="1"/>
  <c r="O31" i="1"/>
  <c r="W31" i="1" s="1"/>
  <c r="O32" i="1"/>
  <c r="W32" i="1" s="1"/>
  <c r="O33" i="1"/>
  <c r="W33" i="1" s="1"/>
  <c r="O34" i="1"/>
  <c r="W34" i="1" s="1"/>
  <c r="O35" i="1"/>
  <c r="W35" i="1" s="1"/>
  <c r="O36" i="1"/>
  <c r="W36" i="1" s="1"/>
  <c r="O37" i="1"/>
  <c r="W37" i="1" s="1"/>
  <c r="O38" i="1"/>
  <c r="W38" i="1" s="1"/>
  <c r="O39" i="1"/>
  <c r="W39" i="1" s="1"/>
  <c r="O40" i="1"/>
  <c r="W40" i="1" s="1"/>
  <c r="O41" i="1"/>
  <c r="W41" i="1" s="1"/>
  <c r="O42" i="1"/>
  <c r="W42" i="1" s="1"/>
  <c r="O43" i="1"/>
  <c r="W43" i="1" s="1"/>
  <c r="O44" i="1"/>
  <c r="W44" i="1" s="1"/>
  <c r="O45" i="1"/>
  <c r="W45" i="1" s="1"/>
  <c r="O50" i="1"/>
  <c r="W50" i="1" s="1"/>
  <c r="O51" i="1"/>
  <c r="W51" i="1" s="1"/>
  <c r="O52" i="1"/>
  <c r="W52" i="1" s="1"/>
  <c r="O53" i="1"/>
  <c r="W53" i="1" s="1"/>
  <c r="O54" i="1"/>
  <c r="W54" i="1" s="1"/>
  <c r="O55" i="1"/>
  <c r="W55" i="1" s="1"/>
  <c r="O56" i="1"/>
  <c r="W56" i="1" s="1"/>
  <c r="O57" i="1"/>
  <c r="W57" i="1" s="1"/>
  <c r="O58" i="1"/>
  <c r="W58" i="1" s="1"/>
  <c r="O59" i="1"/>
  <c r="W59" i="1" s="1"/>
  <c r="O60" i="1"/>
  <c r="W60" i="1" s="1"/>
  <c r="O61" i="1"/>
  <c r="W61" i="1" s="1"/>
  <c r="O62" i="1"/>
  <c r="W62" i="1" s="1"/>
  <c r="O63" i="1"/>
  <c r="W63" i="1" s="1"/>
  <c r="O64" i="1"/>
  <c r="W64" i="1" s="1"/>
  <c r="O65" i="1"/>
  <c r="W65" i="1" s="1"/>
  <c r="O66" i="1"/>
  <c r="W66" i="1" s="1"/>
  <c r="O67" i="1"/>
  <c r="W67" i="1" s="1"/>
  <c r="O68" i="1"/>
  <c r="W68" i="1" s="1"/>
  <c r="O69" i="1"/>
  <c r="W69" i="1" s="1"/>
  <c r="O70" i="1"/>
  <c r="W70" i="1" s="1"/>
  <c r="O71" i="1"/>
  <c r="W71" i="1" s="1"/>
  <c r="O72" i="1"/>
  <c r="W72" i="1" s="1"/>
  <c r="O73" i="1"/>
  <c r="W73" i="1" s="1"/>
  <c r="O74" i="1"/>
  <c r="W74" i="1" s="1"/>
  <c r="O75" i="1"/>
  <c r="W75" i="1" s="1"/>
  <c r="O76" i="1"/>
  <c r="W76" i="1" s="1"/>
  <c r="O77" i="1"/>
  <c r="W77" i="1" s="1"/>
  <c r="O78" i="1"/>
  <c r="W78" i="1" s="1"/>
  <c r="O79" i="1"/>
  <c r="W79" i="1" s="1"/>
  <c r="O80" i="1"/>
  <c r="W80" i="1" s="1"/>
  <c r="O81" i="1"/>
  <c r="W81" i="1" s="1"/>
  <c r="AC29" i="1"/>
  <c r="AC21" i="1"/>
  <c r="AC6" i="1"/>
  <c r="Y107" i="1" l="1"/>
  <c r="Y104" i="1"/>
  <c r="Y90" i="1"/>
  <c r="W22" i="1"/>
  <c r="Y22" i="1" s="1"/>
  <c r="W18" i="1"/>
  <c r="Y18" i="1" s="1"/>
  <c r="W14" i="1"/>
  <c r="Y14" i="1" s="1"/>
  <c r="W10" i="1"/>
  <c r="Y10" i="1" s="1"/>
  <c r="W21" i="1"/>
  <c r="Y21" i="1" s="1"/>
  <c r="W17" i="1"/>
  <c r="Y17" i="1" s="1"/>
  <c r="W13" i="1"/>
  <c r="Y13" i="1" s="1"/>
  <c r="W9" i="1"/>
  <c r="Y9" i="1" s="1"/>
  <c r="W23" i="1"/>
  <c r="Y23" i="1" s="1"/>
  <c r="W19" i="1"/>
  <c r="Y19" i="1" s="1"/>
  <c r="W15" i="1"/>
  <c r="Y15" i="1" s="1"/>
  <c r="W11" i="1"/>
  <c r="Y11" i="1" s="1"/>
  <c r="Y6" i="1"/>
  <c r="Y78" i="1"/>
  <c r="Y74" i="1"/>
  <c r="Y70" i="1"/>
  <c r="Y66" i="1"/>
  <c r="Y62" i="1"/>
  <c r="Y58" i="1"/>
  <c r="Y54" i="1"/>
  <c r="Y99" i="1"/>
  <c r="Y95" i="1"/>
  <c r="Y89" i="1"/>
  <c r="Y85" i="1"/>
  <c r="Y137" i="1"/>
  <c r="Y133" i="1"/>
  <c r="Y129" i="1"/>
  <c r="Y125" i="1"/>
  <c r="Y121" i="1"/>
  <c r="Y117" i="1"/>
  <c r="Y113" i="1"/>
  <c r="Y109" i="1"/>
  <c r="Y141" i="1"/>
  <c r="Y147" i="1"/>
  <c r="Y158" i="1"/>
  <c r="Y154" i="1"/>
  <c r="Y149" i="1"/>
  <c r="Y160" i="1"/>
  <c r="Y164" i="1"/>
  <c r="Y81" i="1"/>
  <c r="Y77" i="1"/>
  <c r="Y73" i="1"/>
  <c r="Y69" i="1"/>
  <c r="Y92" i="1"/>
  <c r="Y88" i="1"/>
  <c r="Y84" i="1"/>
  <c r="Y136" i="1"/>
  <c r="Y132" i="1"/>
  <c r="Y128" i="1"/>
  <c r="Y124" i="1"/>
  <c r="Y120" i="1"/>
  <c r="Y116" i="1"/>
  <c r="Y112" i="1"/>
  <c r="Y108" i="1"/>
  <c r="Y5" i="1"/>
  <c r="Y140" i="1"/>
  <c r="Y157" i="1"/>
  <c r="Y153" i="1"/>
  <c r="Y150" i="1"/>
  <c r="Y100" i="1"/>
  <c r="Y96" i="1"/>
  <c r="Y65" i="1"/>
  <c r="Y61" i="1"/>
  <c r="Y57" i="1"/>
  <c r="Y53" i="1"/>
  <c r="Y43" i="1"/>
  <c r="Y30" i="1"/>
  <c r="Y94" i="1"/>
  <c r="Y50" i="1"/>
  <c r="Y46" i="1"/>
  <c r="Y144" i="1"/>
  <c r="Y163" i="1"/>
  <c r="Y39" i="1"/>
  <c r="Y31" i="1"/>
  <c r="Y51" i="1"/>
  <c r="Y42" i="1"/>
  <c r="Y34" i="1"/>
  <c r="Y102" i="1"/>
  <c r="Y80" i="1"/>
  <c r="Y76" i="1"/>
  <c r="Y72" i="1"/>
  <c r="Y68" i="1"/>
  <c r="Y64" i="1"/>
  <c r="Y60" i="1"/>
  <c r="Y56" i="1"/>
  <c r="Y52" i="1"/>
  <c r="Y41" i="1"/>
  <c r="Y37" i="1"/>
  <c r="Y33" i="1"/>
  <c r="Y29" i="1"/>
  <c r="Y25" i="1"/>
  <c r="Y105" i="1"/>
  <c r="Y101" i="1"/>
  <c r="Y97" i="1"/>
  <c r="Y93" i="1"/>
  <c r="Y91" i="1"/>
  <c r="Y87" i="1"/>
  <c r="Y83" i="1"/>
  <c r="Y135" i="1"/>
  <c r="Y131" i="1"/>
  <c r="Y127" i="1"/>
  <c r="Y123" i="1"/>
  <c r="Y119" i="1"/>
  <c r="Y115" i="1"/>
  <c r="Y111" i="1"/>
  <c r="Y49" i="1"/>
  <c r="Y45" i="1"/>
  <c r="Y143" i="1"/>
  <c r="Y139" i="1"/>
  <c r="Y156" i="1"/>
  <c r="Y152" i="1"/>
  <c r="Y162" i="1"/>
  <c r="Y146" i="1"/>
  <c r="Y166" i="1"/>
  <c r="Y35" i="1"/>
  <c r="Y27" i="1"/>
  <c r="Y47" i="1"/>
  <c r="Y38" i="1"/>
  <c r="Y26" i="1"/>
  <c r="Y106" i="1"/>
  <c r="Y98" i="1"/>
  <c r="Y79" i="1"/>
  <c r="Y75" i="1"/>
  <c r="Y71" i="1"/>
  <c r="Y67" i="1"/>
  <c r="Y63" i="1"/>
  <c r="Y59" i="1"/>
  <c r="Y55" i="1"/>
  <c r="Y44" i="1"/>
  <c r="Y40" i="1"/>
  <c r="Y36" i="1"/>
  <c r="Y32" i="1"/>
  <c r="Y28" i="1"/>
  <c r="Y24" i="1"/>
  <c r="Y20" i="1"/>
  <c r="Y16" i="1"/>
  <c r="Y12" i="1"/>
  <c r="Y82" i="1"/>
  <c r="Y86" i="1"/>
  <c r="Y134" i="1"/>
  <c r="Y130" i="1"/>
  <c r="Y126" i="1"/>
  <c r="Y122" i="1"/>
  <c r="Y118" i="1"/>
  <c r="Y114" i="1"/>
  <c r="Y110" i="1"/>
  <c r="Y48" i="1"/>
  <c r="Y142" i="1"/>
  <c r="Y138" i="1"/>
  <c r="Y148" i="1"/>
  <c r="Y159" i="1"/>
  <c r="Y155" i="1"/>
  <c r="Y151" i="1"/>
  <c r="Y161" i="1"/>
  <c r="Y145" i="1"/>
  <c r="Y165" i="1"/>
</calcChain>
</file>

<file path=xl/sharedStrings.xml><?xml version="1.0" encoding="utf-8"?>
<sst xmlns="http://schemas.openxmlformats.org/spreadsheetml/2006/main" count="2079" uniqueCount="292">
  <si>
    <t>NO</t>
  </si>
  <si>
    <t>45C9</t>
  </si>
  <si>
    <t>Familiar</t>
  </si>
  <si>
    <t>F</t>
  </si>
  <si>
    <t>61CE</t>
  </si>
  <si>
    <t>M</t>
  </si>
  <si>
    <t>E59B</t>
  </si>
  <si>
    <t>66CC</t>
  </si>
  <si>
    <t>AD09</t>
  </si>
  <si>
    <t>EBE4</t>
  </si>
  <si>
    <t>F98D</t>
  </si>
  <si>
    <t>63CA</t>
  </si>
  <si>
    <t xml:space="preserve">NO </t>
  </si>
  <si>
    <t>4C86</t>
  </si>
  <si>
    <t>Test index</t>
  </si>
  <si>
    <t>Test data</t>
  </si>
  <si>
    <t>Falls during the last year - prior to test (YES/NO)</t>
  </si>
  <si>
    <t>Sex (M/ F)</t>
  </si>
  <si>
    <t>Location (Consultation, Nursing home, Familiar)</t>
  </si>
  <si>
    <t>Living in a nursing home (YES/NO)</t>
  </si>
  <si>
    <t>Weight (kg)</t>
  </si>
  <si>
    <t>Height (m)</t>
  </si>
  <si>
    <t>Body-mass index (BMI)</t>
  </si>
  <si>
    <t>Gait test of 4-meter walk</t>
  </si>
  <si>
    <t>Gait speed (m/s)</t>
  </si>
  <si>
    <t>Frailty critieria</t>
  </si>
  <si>
    <t>Unintentional weight loss (YES/NO)</t>
  </si>
  <si>
    <t>YES: at least two days per week with low energy or resistance; NO: otherwise</t>
  </si>
  <si>
    <t>Gait speed clinical assessment (YES/NO)</t>
  </si>
  <si>
    <t>YES: gait speed (m/s) &lt; threshold (m/s) (thresholds depend on the sex and height); NO: otherwise</t>
  </si>
  <si>
    <t>Manual force clinical assessment (YES/NO)</t>
  </si>
  <si>
    <t>Manual force  (kg)</t>
  </si>
  <si>
    <t>YES: force (kg) &lt; threshold (kg) (thresholds depend on the sex and body-mass index); NO: otherwise</t>
  </si>
  <si>
    <t>Index from 0 to 5; 0: lowest failty; 5: highest failty</t>
  </si>
  <si>
    <t>Frailty assessment (index)</t>
  </si>
  <si>
    <t>Balance test (index)</t>
  </si>
  <si>
    <t>Index from 0 to 4; 0: lowest balance; 4: highest balance</t>
  </si>
  <si>
    <t>Index from 0 to 12; 0: highest failty; 12: lowest fraility</t>
  </si>
  <si>
    <t>SPPB assessment (index)</t>
  </si>
  <si>
    <t>Short Falls Efficacy Scale International test</t>
  </si>
  <si>
    <t>Index from 7 to 28; 7: no concern about falling; 28: severe concern about falling</t>
  </si>
  <si>
    <t>Short FES-I assessment (index)</t>
  </si>
  <si>
    <t>Gait data from the IMU recordings</t>
  </si>
  <si>
    <t>Distance (m)</t>
  </si>
  <si>
    <t>Time (s)</t>
  </si>
  <si>
    <t>Strides</t>
  </si>
  <si>
    <t>Swing - Avg. (%)</t>
  </si>
  <si>
    <t>Foot Flat - Avg. (%)</t>
  </si>
  <si>
    <t>Step Speed - Avg. (m/s)</t>
  </si>
  <si>
    <t>Stride Length - Avg. (m)</t>
  </si>
  <si>
    <t>3D Path - Avg. (m)</t>
  </si>
  <si>
    <t>2D Path - Avg. (m)</t>
  </si>
  <si>
    <t>Stride time - Avg. (s)</t>
  </si>
  <si>
    <t>Stride time - STD (s)</t>
  </si>
  <si>
    <t>Swing - STD (%)</t>
  </si>
  <si>
    <t>Foot Flat - STD (%)</t>
  </si>
  <si>
    <t>Step Speed - STD (m/s)</t>
  </si>
  <si>
    <t>Stride Length - STD (m)</t>
  </si>
  <si>
    <t>Clearance - Avg. (m)</t>
  </si>
  <si>
    <t>Clearance - STD (m)</t>
  </si>
  <si>
    <t>Cadence - STD (strides/min)</t>
  </si>
  <si>
    <t>Cadence - Avg. (strides/min)</t>
  </si>
  <si>
    <t>CSIC</t>
  </si>
  <si>
    <t>YES: they fell during the last year; NO: otherwise</t>
  </si>
  <si>
    <t>Device Id. (identifier)</t>
  </si>
  <si>
    <t>Test surface (type of surface)</t>
  </si>
  <si>
    <t>Weight (kg)/ (Height (m)^2)</t>
  </si>
  <si>
    <t>Time spent walking the 4 meters</t>
  </si>
  <si>
    <t>M: masculine; F: femenine</t>
  </si>
  <si>
    <t>4 (m) / Time duration (s)</t>
  </si>
  <si>
    <t>Time duration 4m test (s)</t>
  </si>
  <si>
    <t>Low energy and resistance (YES/NO)</t>
  </si>
  <si>
    <t>Low activity level (YES/NO)</t>
  </si>
  <si>
    <t>YES: (M) walks less than 3 h/week or (F) walks less than 1h/week; NO: otherwise</t>
  </si>
  <si>
    <t>Index from 0 to 4; 0: lowest speed; 4: highest speed</t>
  </si>
  <si>
    <t>Gait speed test (index)</t>
  </si>
  <si>
    <t>Chair stand test (index)</t>
  </si>
  <si>
    <t>Index from 0 to 4; 0: large time to stand up (lowest force); 4: short time to stand up (highest force)</t>
  </si>
  <si>
    <t>Global Deterioration Scale (GDS) questionnaire (index)</t>
  </si>
  <si>
    <t>Index from 1 to 7; 1: lowest cognitive deterioration; 7: highest deterioration</t>
  </si>
  <si>
    <t>Consultation</t>
  </si>
  <si>
    <t>Nursing home</t>
  </si>
  <si>
    <t>Varied</t>
  </si>
  <si>
    <t>Plane</t>
  </si>
  <si>
    <t>YES</t>
  </si>
  <si>
    <t>Gaitup</t>
  </si>
  <si>
    <t>Type of device (CSIC/Gaitup)</t>
  </si>
  <si>
    <t>Plane: inside of bulidings; Varied: outside</t>
  </si>
  <si>
    <t>V001</t>
  </si>
  <si>
    <t>V002</t>
  </si>
  <si>
    <t>V003</t>
  </si>
  <si>
    <t>V004</t>
  </si>
  <si>
    <t>V005</t>
  </si>
  <si>
    <t>V116</t>
  </si>
  <si>
    <t>V007</t>
  </si>
  <si>
    <t>V118</t>
  </si>
  <si>
    <t>V119</t>
  </si>
  <si>
    <t>Toe angle with respect to the global frame during the Toe-off phase</t>
  </si>
  <si>
    <t>Toe angle with respect to the global frame during the Heel Strike phase</t>
  </si>
  <si>
    <t>Average portion of time of the Swing gait phase over the gait cycle</t>
  </si>
  <si>
    <t>Average portion of time of the Foot Flate gait phase over the gait cycle</t>
  </si>
  <si>
    <t>3D Path - STD (m)</t>
  </si>
  <si>
    <t>2D Path - STD (m)</t>
  </si>
  <si>
    <t>Projection of the 3D path into the 2D horizontal plane</t>
  </si>
  <si>
    <t>Deaf</t>
  </si>
  <si>
    <t>Incapable</t>
  </si>
  <si>
    <t>CSIC: ad-hoc made; Gaitup: from gaitup commertial brand</t>
  </si>
  <si>
    <t>V128</t>
  </si>
  <si>
    <t>V162</t>
  </si>
  <si>
    <t>V056</t>
  </si>
  <si>
    <t>V065</t>
  </si>
  <si>
    <t>V006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</si>
  <si>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</si>
  <si>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</si>
  <si>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</si>
  <si>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</si>
  <si>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</si>
  <si>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</si>
  <si>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</si>
  <si>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</si>
  <si>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</si>
  <si>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</si>
  <si>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</si>
  <si>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</si>
  <si>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</si>
  <si>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</si>
  <si>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</si>
  <si>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</si>
  <si>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</si>
  <si>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</si>
  <si>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</si>
  <si>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</si>
  <si>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</si>
  <si>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</si>
  <si>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</si>
  <si>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</si>
  <si>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</si>
  <si>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</si>
  <si>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</si>
  <si>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</si>
  <si>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</si>
  <si>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</si>
  <si>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</si>
  <si>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</si>
  <si>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</si>
  <si>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V041</t>
  </si>
  <si>
    <t>V042</t>
  </si>
  <si>
    <t>V043</t>
  </si>
  <si>
    <t>V044</t>
  </si>
  <si>
    <t>V045</t>
  </si>
  <si>
    <t>V046</t>
  </si>
  <si>
    <t>V047</t>
  </si>
  <si>
    <t>V048</t>
  </si>
  <si>
    <t>V049</t>
  </si>
  <si>
    <t>V050</t>
  </si>
  <si>
    <t>V051</t>
  </si>
  <si>
    <t>V052</t>
  </si>
  <si>
    <t>V053</t>
  </si>
  <si>
    <t>V054</t>
  </si>
  <si>
    <t>V055</t>
  </si>
  <si>
    <t>V057</t>
  </si>
  <si>
    <t>V058</t>
  </si>
  <si>
    <t>V059</t>
  </si>
  <si>
    <t>V060</t>
  </si>
  <si>
    <t>V061</t>
  </si>
  <si>
    <t>V062</t>
  </si>
  <si>
    <t>V063</t>
  </si>
  <si>
    <t>V064</t>
  </si>
  <si>
    <t>V066</t>
  </si>
  <si>
    <t>V067</t>
  </si>
  <si>
    <t>V068</t>
  </si>
  <si>
    <t>V069</t>
  </si>
  <si>
    <t>V070</t>
  </si>
  <si>
    <t>V071</t>
  </si>
  <si>
    <t>V072</t>
  </si>
  <si>
    <t>V073</t>
  </si>
  <si>
    <t>V074</t>
  </si>
  <si>
    <t>V075</t>
  </si>
  <si>
    <t>V076</t>
  </si>
  <si>
    <t>V077</t>
  </si>
  <si>
    <t>V078</t>
  </si>
  <si>
    <t>V079</t>
  </si>
  <si>
    <t>V080</t>
  </si>
  <si>
    <t>V081</t>
  </si>
  <si>
    <t>V082</t>
  </si>
  <si>
    <t>V083</t>
  </si>
  <si>
    <t>V084</t>
  </si>
  <si>
    <t>V085</t>
  </si>
  <si>
    <t>V086</t>
  </si>
  <si>
    <t>V087</t>
  </si>
  <si>
    <t>V088</t>
  </si>
  <si>
    <t>V089</t>
  </si>
  <si>
    <t>V090</t>
  </si>
  <si>
    <t>V091</t>
  </si>
  <si>
    <t>V092</t>
  </si>
  <si>
    <t>V093</t>
  </si>
  <si>
    <t>V094</t>
  </si>
  <si>
    <t>V095</t>
  </si>
  <si>
    <t>V096</t>
  </si>
  <si>
    <t>V097</t>
  </si>
  <si>
    <t>V098</t>
  </si>
  <si>
    <t>V099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</si>
  <si>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</si>
  <si>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</si>
  <si>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</si>
  <si>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</si>
  <si>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</si>
  <si>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</si>
  <si>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</si>
  <si>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</si>
  <si>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</si>
  <si>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</si>
  <si>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</si>
  <si>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</si>
  <si>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</si>
  <si>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</si>
  <si>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</si>
  <si>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</si>
  <si>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V117</t>
  </si>
  <si>
    <t>V120</t>
  </si>
  <si>
    <t>V121</t>
  </si>
  <si>
    <t>V122</t>
  </si>
  <si>
    <t>V123</t>
  </si>
  <si>
    <t>V124</t>
  </si>
  <si>
    <t>V125</t>
  </si>
  <si>
    <t>V126</t>
  </si>
  <si>
    <t>V127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</si>
  <si>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</si>
  <si>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</si>
  <si>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</si>
  <si>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</si>
  <si>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</si>
  <si>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</si>
  <si>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</si>
  <si>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</si>
  <si>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</si>
  <si>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</si>
  <si>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</si>
  <si>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</si>
  <si>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</si>
  <si>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</si>
  <si>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</si>
  <si>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</si>
  <si>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</si>
  <si>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</si>
  <si>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</si>
  <si>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</si>
  <si>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</si>
  <si>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</si>
  <si>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</si>
  <si>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</si>
  <si>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</si>
  <si>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</si>
  <si>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</si>
  <si>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</si>
  <si>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</si>
  <si>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</si>
  <si>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</si>
  <si>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</si>
  <si>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</si>
  <si>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ID (VNNN)</t>
  </si>
  <si>
    <t>Volunteer index</t>
  </si>
  <si>
    <t>Short Physical Performance Battery (SPPB) test</t>
  </si>
  <si>
    <t>-</t>
  </si>
  <si>
    <t>Timed up and go (TUG) test</t>
  </si>
  <si>
    <t>Time duration TUG test (s)</t>
  </si>
  <si>
    <t>Specific considerations of volunteers</t>
  </si>
  <si>
    <t>YES: lost more than 4,5 kg during the last year; NO: otherwise</t>
  </si>
  <si>
    <t>Date (Month-YY)</t>
  </si>
  <si>
    <t>Anatomical, functional and cognitive variables</t>
  </si>
  <si>
    <t>No raw data</t>
  </si>
  <si>
    <t>Notes</t>
  </si>
  <si>
    <t>V163</t>
  </si>
  <si>
    <t>Load - Avg. (%)</t>
  </si>
  <si>
    <t>Load - STD (%)</t>
  </si>
  <si>
    <t>Toe-Off angle - Avg. (°)</t>
  </si>
  <si>
    <t>Toe-Off angle - STD (°)</t>
  </si>
  <si>
    <t>Heel-Strike angle - Avg. (°)</t>
  </si>
  <si>
    <t>Heel-Strike angle - STD (°)</t>
  </si>
  <si>
    <t>80-84</t>
  </si>
  <si>
    <t>75-79</t>
  </si>
  <si>
    <t>95-99</t>
  </si>
  <si>
    <t>85-89</t>
  </si>
  <si>
    <t>70-74</t>
  </si>
  <si>
    <t>90-94</t>
  </si>
  <si>
    <t>Age (range of years)</t>
  </si>
  <si>
    <t>Average portion of time of the Load gait phase over the gait cycle</t>
  </si>
  <si>
    <t>Average portion of time of the Push gait phase over the gait cycle</t>
  </si>
  <si>
    <t>Push - Avg. (%)</t>
  </si>
  <si>
    <t>Push - STD (%)</t>
  </si>
  <si>
    <t xml:space="preserve">  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</si>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</sst>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409]mmmm\-yy;@"/>
  </numFmts>
  <fonts count="2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sz val="11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color rgb="FF000000"/>
      <name val="Calibri"/>
      <family val="2"/>
      <charset val="1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</font>
    <font>
      <sz val="11"/>
      <color theme="0"/>
      <name val="Calibri"/>
      <family val="2"/>
    </font>
    <font>
      <sz val="11"/>
      <color theme="2" tint="-0.89999084444715716"/>
      <name val="Calibri"/>
      <family val="2"/>
      <scheme val="minor"/>
    </font>
    <font>
      <sz val="11"/>
      <color theme="2" tint="-0.89999084444715716"/>
      <name val="Calibri"/>
      <family val="2"/>
    </font>
    <font>
      <sz val="11"/>
      <color theme="0" tint="-4.9989318521683403E-2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305496"/>
        <bgColor rgb="FF000000"/>
      </patternFill>
    </fill>
    <fill>
      <patternFill patternType="solid">
        <fgColor rgb="FF203764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F2F2F2"/>
        <bgColor indexed="64"/>
      </patternFill>
    </fill>
    <fill>
      <patternFill patternType="solid">
        <fgColor rgb="FFED7D31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auto="1"/>
      </bottom>
      <diagonal/>
    </border>
    <border>
      <left/>
      <right/>
      <top style="medium">
        <color rgb="FF000000"/>
      </top>
      <bottom style="medium">
        <color auto="1"/>
      </bottom>
      <diagonal/>
    </border>
    <border>
      <left style="medium">
        <color rgb="FF000000"/>
      </left>
      <right/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auto="1"/>
      </bottom>
      <diagonal/>
    </border>
    <border>
      <left style="medium">
        <color indexed="64"/>
      </left>
      <right/>
      <top style="medium">
        <color rgb="FF000000"/>
      </top>
      <bottom style="medium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auto="1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auto="1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2" fontId="9" fillId="14" borderId="0" xfId="0" quotePrefix="1" applyNumberFormat="1" applyFont="1" applyFill="1" applyAlignment="1">
      <alignment horizontal="center" vertical="center"/>
    </xf>
    <xf numFmtId="0" fontId="6" fillId="0" borderId="8" xfId="0" applyFont="1" applyBorder="1" applyAlignment="1">
      <alignment horizontal="center"/>
    </xf>
    <xf numFmtId="2" fontId="0" fillId="14" borderId="8" xfId="0" applyNumberFormat="1" applyFill="1" applyBorder="1" applyAlignment="1">
      <alignment horizontal="center" vertical="center"/>
    </xf>
    <xf numFmtId="0" fontId="9" fillId="14" borderId="0" xfId="0" quotePrefix="1" applyFont="1" applyFill="1" applyAlignment="1">
      <alignment horizontal="center" vertical="center"/>
    </xf>
    <xf numFmtId="0" fontId="7" fillId="14" borderId="8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2" fontId="9" fillId="14" borderId="0" xfId="0" quotePrefix="1" applyNumberFormat="1" applyFont="1" applyFill="1" applyAlignment="1">
      <alignment horizontal="center"/>
    </xf>
    <xf numFmtId="0" fontId="6" fillId="0" borderId="0" xfId="0" applyFont="1"/>
    <xf numFmtId="0" fontId="3" fillId="15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2" fontId="9" fillId="14" borderId="0" xfId="0" quotePrefix="1" applyNumberFormat="1" applyFont="1" applyFill="1" applyAlignment="1">
      <alignment horizontal="center" vertical="center" wrapText="1"/>
    </xf>
    <xf numFmtId="2" fontId="0" fillId="14" borderId="8" xfId="0" applyNumberFormat="1" applyFill="1" applyBorder="1" applyAlignment="1">
      <alignment horizontal="center" vertical="center" wrapText="1"/>
    </xf>
    <xf numFmtId="0" fontId="6" fillId="14" borderId="0" xfId="0" applyFont="1" applyFill="1" applyAlignment="1">
      <alignment horizontal="center" vertical="center" wrapText="1"/>
    </xf>
    <xf numFmtId="0" fontId="9" fillId="14" borderId="0" xfId="0" quotePrefix="1" applyFont="1" applyFill="1" applyAlignment="1">
      <alignment horizontal="center" vertical="center" wrapText="1"/>
    </xf>
    <xf numFmtId="0" fontId="6" fillId="14" borderId="8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8" borderId="0" xfId="0" applyFont="1" applyFill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wrapText="1"/>
    </xf>
    <xf numFmtId="0" fontId="2" fillId="0" borderId="0" xfId="0" applyFont="1"/>
    <xf numFmtId="0" fontId="3" fillId="15" borderId="28" xfId="0" applyFont="1" applyFill="1" applyBorder="1" applyAlignment="1">
      <alignment horizontal="center" vertical="center" wrapText="1"/>
    </xf>
    <xf numFmtId="0" fontId="12" fillId="15" borderId="28" xfId="0" applyFont="1" applyFill="1" applyBorder="1" applyAlignment="1">
      <alignment horizontal="center" vertical="center" wrapText="1"/>
    </xf>
    <xf numFmtId="0" fontId="0" fillId="9" borderId="10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4" fillId="5" borderId="29" xfId="0" applyFont="1" applyFill="1" applyBorder="1" applyAlignment="1">
      <alignment horizontal="center" vertical="center" wrapText="1"/>
    </xf>
    <xf numFmtId="0" fontId="10" fillId="10" borderId="9" xfId="0" applyFont="1" applyFill="1" applyBorder="1" applyAlignment="1">
      <alignment horizontal="center" vertical="center" wrapText="1"/>
    </xf>
    <xf numFmtId="0" fontId="10" fillId="10" borderId="12" xfId="0" applyFont="1" applyFill="1" applyBorder="1" applyAlignment="1">
      <alignment horizontal="center" vertical="center" wrapText="1"/>
    </xf>
    <xf numFmtId="0" fontId="11" fillId="10" borderId="12" xfId="0" applyFont="1" applyFill="1" applyBorder="1" applyAlignment="1">
      <alignment horizontal="center" vertical="center" wrapText="1"/>
    </xf>
    <xf numFmtId="0" fontId="10" fillId="11" borderId="17" xfId="0" applyFont="1" applyFill="1" applyBorder="1" applyAlignment="1">
      <alignment horizontal="center" vertical="center" wrapText="1"/>
    </xf>
    <xf numFmtId="0" fontId="10" fillId="11" borderId="12" xfId="0" applyFont="1" applyFill="1" applyBorder="1" applyAlignment="1">
      <alignment horizontal="center" vertical="center" wrapText="1"/>
    </xf>
    <xf numFmtId="0" fontId="11" fillId="11" borderId="18" xfId="0" applyFont="1" applyFill="1" applyBorder="1" applyAlignment="1">
      <alignment horizontal="center" vertical="center" wrapText="1"/>
    </xf>
    <xf numFmtId="0" fontId="10" fillId="12" borderId="12" xfId="0" applyFont="1" applyFill="1" applyBorder="1" applyAlignment="1">
      <alignment horizontal="center" vertical="center" wrapText="1"/>
    </xf>
    <xf numFmtId="0" fontId="16" fillId="10" borderId="12" xfId="0" applyFont="1" applyFill="1" applyBorder="1" applyAlignment="1">
      <alignment horizontal="center" vertical="center" wrapText="1"/>
    </xf>
    <xf numFmtId="0" fontId="1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7" fillId="0" borderId="32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0" fillId="0" borderId="32" xfId="0" applyBorder="1" applyAlignment="1">
      <alignment horizontal="center" wrapText="1"/>
    </xf>
    <xf numFmtId="0" fontId="17" fillId="0" borderId="20" xfId="0" applyFont="1" applyBorder="1" applyAlignment="1">
      <alignment horizontal="justify" vertical="center"/>
    </xf>
    <xf numFmtId="0" fontId="17" fillId="9" borderId="21" xfId="0" applyFont="1" applyFill="1" applyBorder="1" applyAlignment="1">
      <alignment horizontal="left" vertical="center" wrapText="1"/>
    </xf>
    <xf numFmtId="0" fontId="17" fillId="9" borderId="19" xfId="0" applyFont="1" applyFill="1" applyBorder="1" applyAlignment="1">
      <alignment horizontal="left" vertical="center" wrapText="1"/>
    </xf>
    <xf numFmtId="0" fontId="17" fillId="9" borderId="25" xfId="0" applyFont="1" applyFill="1" applyBorder="1" applyAlignment="1">
      <alignment horizontal="left" vertical="center" wrapText="1"/>
    </xf>
    <xf numFmtId="0" fontId="17" fillId="9" borderId="31" xfId="0" applyFont="1" applyFill="1" applyBorder="1" applyAlignment="1">
      <alignment horizontal="left" vertical="center" wrapText="1"/>
    </xf>
    <xf numFmtId="0" fontId="17" fillId="2" borderId="19" xfId="0" applyFont="1" applyFill="1" applyBorder="1" applyAlignment="1">
      <alignment horizontal="left" vertical="center" wrapText="1"/>
    </xf>
    <xf numFmtId="0" fontId="17" fillId="4" borderId="23" xfId="0" applyFont="1" applyFill="1" applyBorder="1" applyAlignment="1">
      <alignment horizontal="left" vertical="center" wrapText="1"/>
    </xf>
    <xf numFmtId="0" fontId="17" fillId="2" borderId="26" xfId="0" applyFont="1" applyFill="1" applyBorder="1" applyAlignment="1">
      <alignment horizontal="left" vertical="center" wrapText="1"/>
    </xf>
    <xf numFmtId="2" fontId="18" fillId="2" borderId="19" xfId="0" applyNumberFormat="1" applyFont="1" applyFill="1" applyBorder="1" applyAlignment="1">
      <alignment horizontal="left" vertical="center" wrapText="1"/>
    </xf>
    <xf numFmtId="20" fontId="17" fillId="2" borderId="19" xfId="0" applyNumberFormat="1" applyFont="1" applyFill="1" applyBorder="1" applyAlignment="1">
      <alignment horizontal="left" vertical="center" wrapText="1"/>
    </xf>
    <xf numFmtId="0" fontId="17" fillId="5" borderId="22" xfId="0" applyFont="1" applyFill="1" applyBorder="1" applyAlignment="1">
      <alignment horizontal="left" vertical="center" wrapText="1"/>
    </xf>
    <xf numFmtId="2" fontId="17" fillId="5" borderId="20" xfId="0" applyNumberFormat="1" applyFont="1" applyFill="1" applyBorder="1" applyAlignment="1">
      <alignment horizontal="left" vertical="center" wrapText="1"/>
    </xf>
    <xf numFmtId="0" fontId="17" fillId="15" borderId="19" xfId="0" applyFont="1" applyFill="1" applyBorder="1" applyAlignment="1">
      <alignment horizontal="left" vertical="center" wrapText="1"/>
    </xf>
    <xf numFmtId="0" fontId="17" fillId="0" borderId="0" xfId="0" applyFont="1"/>
    <xf numFmtId="0" fontId="19" fillId="10" borderId="19" xfId="0" applyFont="1" applyFill="1" applyBorder="1" applyAlignment="1">
      <alignment horizontal="left" vertical="center" wrapText="1"/>
    </xf>
    <xf numFmtId="0" fontId="19" fillId="11" borderId="24" xfId="0" applyFont="1" applyFill="1" applyBorder="1" applyAlignment="1">
      <alignment horizontal="left" vertical="center" wrapText="1"/>
    </xf>
    <xf numFmtId="0" fontId="19" fillId="12" borderId="19" xfId="0" applyFont="1" applyFill="1" applyBorder="1" applyAlignment="1">
      <alignment horizontal="left" vertical="center" wrapText="1"/>
    </xf>
    <xf numFmtId="0" fontId="19" fillId="13" borderId="21" xfId="0" applyFont="1" applyFill="1" applyBorder="1" applyAlignment="1">
      <alignment horizontal="left" vertical="center" wrapText="1"/>
    </xf>
    <xf numFmtId="0" fontId="17" fillId="9" borderId="35" xfId="0" applyFont="1" applyFill="1" applyBorder="1" applyAlignment="1">
      <alignment horizontal="left" vertical="center" wrapText="1"/>
    </xf>
    <xf numFmtId="0" fontId="14" fillId="15" borderId="28" xfId="0" applyFont="1" applyFill="1" applyBorder="1" applyAlignment="1">
      <alignment horizontal="center" vertical="center" wrapText="1"/>
    </xf>
    <xf numFmtId="0" fontId="14" fillId="15" borderId="0" xfId="0" applyFont="1" applyFill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4" fillId="0" borderId="33" xfId="0" applyFont="1" applyBorder="1" applyAlignment="1">
      <alignment horizontal="center" vertical="center" wrapText="1"/>
    </xf>
    <xf numFmtId="0" fontId="4" fillId="9" borderId="16" xfId="0" applyFont="1" applyFill="1" applyBorder="1" applyAlignment="1">
      <alignment horizontal="center" vertical="center" wrapText="1"/>
    </xf>
    <xf numFmtId="0" fontId="4" fillId="0" borderId="0" xfId="0" applyFont="1"/>
    <xf numFmtId="0" fontId="4" fillId="9" borderId="14" xfId="0" applyFont="1" applyFill="1" applyBorder="1" applyAlignment="1">
      <alignment horizontal="center" vertical="center" wrapText="1"/>
    </xf>
    <xf numFmtId="0" fontId="4" fillId="9" borderId="15" xfId="0" applyFont="1" applyFill="1" applyBorder="1" applyAlignment="1">
      <alignment horizontal="center" vertical="center" wrapText="1"/>
    </xf>
    <xf numFmtId="0" fontId="4" fillId="9" borderId="37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0" fontId="1" fillId="3" borderId="2" xfId="0" applyFont="1" applyFill="1" applyBorder="1" applyAlignment="1">
      <alignment horizontal="center" vertical="center" wrapText="1"/>
    </xf>
    <xf numFmtId="0" fontId="10" fillId="13" borderId="10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2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7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wrapText="1"/>
    </xf>
    <xf numFmtId="2" fontId="0" fillId="0" borderId="6" xfId="0" applyNumberFormat="1" applyBorder="1" applyAlignment="1">
      <alignment horizontal="center" vertical="center"/>
    </xf>
    <xf numFmtId="2" fontId="6" fillId="0" borderId="6" xfId="0" applyNumberFormat="1" applyFon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7" fillId="0" borderId="6" xfId="0" applyNumberFormat="1" applyFont="1" applyBorder="1" applyAlignment="1">
      <alignment horizontal="center" vertical="center"/>
    </xf>
    <xf numFmtId="2" fontId="6" fillId="0" borderId="6" xfId="0" applyNumberFormat="1" applyFont="1" applyBorder="1" applyAlignment="1">
      <alignment horizontal="center"/>
    </xf>
    <xf numFmtId="2" fontId="0" fillId="0" borderId="6" xfId="0" applyNumberFormat="1" applyBorder="1" applyAlignment="1">
      <alignment horizontal="center" wrapText="1"/>
    </xf>
    <xf numFmtId="2" fontId="8" fillId="0" borderId="0" xfId="0" applyNumberFormat="1" applyFont="1" applyAlignment="1">
      <alignment horizontal="center"/>
    </xf>
    <xf numFmtId="2" fontId="6" fillId="0" borderId="0" xfId="0" applyNumberFormat="1" applyFont="1"/>
    <xf numFmtId="165" fontId="6" fillId="0" borderId="0" xfId="0" applyNumberFormat="1" applyFont="1"/>
    <xf numFmtId="0" fontId="4" fillId="9" borderId="35" xfId="0" applyFont="1" applyFill="1" applyBorder="1" applyAlignment="1">
      <alignment horizontal="left" vertical="center" wrapText="1"/>
    </xf>
    <xf numFmtId="166" fontId="4" fillId="0" borderId="32" xfId="0" applyNumberFormat="1" applyFont="1" applyBorder="1" applyAlignment="1">
      <alignment horizontal="center"/>
    </xf>
    <xf numFmtId="166" fontId="4" fillId="0" borderId="32" xfId="0" applyNumberFormat="1" applyFont="1" applyBorder="1" applyAlignment="1">
      <alignment horizontal="center" vertical="center"/>
    </xf>
    <xf numFmtId="0" fontId="3" fillId="15" borderId="23" xfId="0" applyFont="1" applyFill="1" applyBorder="1" applyAlignment="1">
      <alignment vertical="center"/>
    </xf>
    <xf numFmtId="0" fontId="3" fillId="15" borderId="27" xfId="0" applyFont="1" applyFill="1" applyBorder="1" applyAlignment="1">
      <alignment vertical="center"/>
    </xf>
    <xf numFmtId="0" fontId="3" fillId="15" borderId="26" xfId="0" applyFont="1" applyFill="1" applyBorder="1" applyAlignment="1">
      <alignment horizontal="center" vertical="center"/>
    </xf>
    <xf numFmtId="0" fontId="3" fillId="15" borderId="23" xfId="0" applyFont="1" applyFill="1" applyBorder="1" applyAlignment="1">
      <alignment horizontal="center" vertical="center"/>
    </xf>
    <xf numFmtId="0" fontId="3" fillId="9" borderId="34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9" borderId="33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58">
    <dxf>
      <border diagonalUp="0" diagonalDown="0" outline="0">
        <left/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/>
        <top/>
        <bottom/>
      </border>
    </dxf>
    <dxf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/>
        <top/>
        <bottom/>
      </border>
    </dxf>
    <dxf>
      <border>
        <left style="medium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/>
        <top/>
        <bottom/>
      </border>
    </dxf>
    <dxf>
      <border>
        <left style="medium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charset val="1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charset val="1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/>
        <top/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</font>
      <border outline="0"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</font>
      <alignment horizontal="center" vertical="bottom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numFmt numFmtId="167" formatCode="[$-C0A]d\-mmm\-yy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yyyy\-mm\-dd;@"/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medium">
          <color indexed="64"/>
        </right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/>
        <right style="medium">
          <color rgb="FF000000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rgb="FF000000"/>
        </right>
        <top/>
        <bottom/>
        <vertical/>
        <horizontal/>
      </border>
    </dxf>
    <dxf>
      <border outline="0">
        <left style="medium">
          <color rgb="FF000000"/>
        </left>
        <right style="medium">
          <color rgb="FF000000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ED7D31"/>
        </patternFill>
      </fill>
      <alignment horizontal="center" vertical="center" textRotation="0" wrapText="1" indent="0" justifyLastLine="0" shrinkToFit="0" readingOrder="0"/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6FC5D7-BBA8-45C3-9A93-89C7DAD19E97}" name="Tabla1" displayName="Tabla1" ref="A2:BI166" totalsRowShown="0" headerRowDxfId="56" tableBorderDxfId="55">
  <autoFilter ref="A2:BI166" xr:uid="{B86FC5D7-BBA8-45C3-9A93-89C7DAD19E97}"/>
  <sortState xmlns:xlrd2="http://schemas.microsoft.com/office/spreadsheetml/2017/richdata2" ref="A3:BH146">
    <sortCondition ref="A2:A146"/>
  </sortState>
  <tableColumns count="61">
    <tableColumn id="1" xr3:uid="{20EBE672-CD75-4493-9504-54729B1D3334}" name="Test index" dataDxfId="54" totalsRowDxfId="53"/>
    <tableColumn id="67" xr3:uid="{33289FCF-954D-4A07-830F-3A483186758B}" name="ID (VNNN)" dataDxfId="52" totalsRowDxfId="51"/>
    <tableColumn id="4" xr3:uid="{CEBA3DAC-1364-41C8-AF6A-BD8B84165BC8}" name="Notes" dataDxfId="50" totalsRowDxfId="49"/>
    <tableColumn id="2" xr3:uid="{45F53A13-BA46-48EB-801E-41E2B49424F9}" name="Date (Month-YY)" dataDxfId="48" totalsRowDxfId="47"/>
    <tableColumn id="5" xr3:uid="{3B1A74C1-B4BD-402A-8490-50B99AFB7216}" name="Falls during the last year - prior to test (YES/NO)" totalsRowDxfId="46"/>
    <tableColumn id="65" xr3:uid="{1629066A-208A-4903-A094-F46F305934CF}" name="Type of device (CSIC/Gaitup)" dataDxfId="45" totalsRowDxfId="44"/>
    <tableColumn id="6" xr3:uid="{C45723D1-A736-4244-A3E8-A75FEB7AB6DB}" name="Device Id. (identifier)" dataDxfId="43" totalsRowDxfId="42"/>
    <tableColumn id="7" xr3:uid="{658255AB-7587-41B4-932F-7374AF360A26}" name="Location (Consultation, Nursing home, Familiar)" totalsRowDxfId="41"/>
    <tableColumn id="9" xr3:uid="{9F524BE5-7149-4FF5-8755-CDB7DEB90AA8}" name="Test surface (type of surface)" totalsRowDxfId="40"/>
    <tableColumn id="3" xr3:uid="{B21E2C74-B862-4C22-870A-FB14B90F0387}" name="Age (range of years)" dataDxfId="39" totalsRowDxfId="38">
      <calculatedColumnFormula>+IF(#REF!&lt;75,"70-74",IF(#REF!&lt;80,"75-79",IF(#REF!&lt;85,"80-84",IF(#REF!&lt;90,"85-89",IF(#REF!&lt;95,"90-94","95-99")))))</calculatedColumnFormula>
    </tableColumn>
    <tableColumn id="11" xr3:uid="{10CD556E-E076-4E40-8CE4-76070ABEA68A}" name="Sex (M/ F)" totalsRowDxfId="37"/>
    <tableColumn id="12" xr3:uid="{6B04A10F-498B-4A78-B951-1B9371377070}" name="Living in a nursing home (YES/NO)" totalsRowDxfId="36"/>
    <tableColumn id="13" xr3:uid="{333A10DB-0663-4527-8F22-C70C1E4F2726}" name="Weight (kg)" totalsRowDxfId="35"/>
    <tableColumn id="14" xr3:uid="{746E0812-7412-40A2-BF7F-E25495D48C49}" name="Height (m)" totalsRowDxfId="34"/>
    <tableColumn id="15" xr3:uid="{34E5F2E6-AD61-42FD-9834-8642A74E113E}" name="Body-mass index (BMI)" dataDxfId="33" totalsRowDxfId="32"/>
    <tableColumn id="16" xr3:uid="{D3114064-AE04-4701-AFFC-FAC772599A06}" name="Global Deterioration Scale (GDS) questionnaire (index)" totalsRowDxfId="31"/>
    <tableColumn id="17" xr3:uid="{6AB7B529-0279-4DDC-99D2-D88214CB47F7}" name="Time duration 4m test (s)" dataDxfId="30" totalsRowDxfId="29"/>
    <tableColumn id="18" xr3:uid="{F263195D-4DAE-42FD-999D-1009EDF5C13B}" name="Gait speed (m/s)" dataDxfId="28" totalsRowDxfId="27"/>
    <tableColumn id="19" xr3:uid="{69C96F9B-5AD0-404F-B60D-357E9BAD931B}" name="Unintentional weight loss (YES/NO)" totalsRowDxfId="26"/>
    <tableColumn id="20" xr3:uid="{BC099CB6-F3CB-4265-8194-2718444BD9B7}" name="Low energy and resistance (YES/NO)" dataDxfId="25" totalsRowDxfId="24"/>
    <tableColumn id="21" xr3:uid="{66F5BC41-861C-4334-857A-60E5397F6C10}" name="Gait speed clinical assessment (YES/NO)" dataDxfId="23" totalsRowDxfId="22"/>
    <tableColumn id="22" xr3:uid="{1850F07F-AD41-4288-A611-DDD7F66C7F7D}" name="Manual force  (kg)" totalsRowDxfId="21"/>
    <tableColumn id="23" xr3:uid="{8CFA1D54-93F9-44EE-A3D1-594C81E6090E}" name="Manual force clinical assessment (YES/NO)" dataDxfId="20" totalsRowDxfId="19"/>
    <tableColumn id="24" xr3:uid="{9132E0BF-1DFC-47FC-820C-7F59CE431D44}" name="Low activity level (YES/NO)" dataDxfId="18" totalsRowDxfId="17"/>
    <tableColumn id="25" xr3:uid="{05726C2C-188B-4562-8637-49034C2EC0A7}" name="Frailty assessment (index)" dataDxfId="16" totalsRowDxfId="15"/>
    <tableColumn id="26" xr3:uid="{FD002EED-C3D8-49EA-B3E1-3EC21BCE5D12}" name="Balance test (index)" dataDxfId="14" totalsRowDxfId="13"/>
    <tableColumn id="27" xr3:uid="{2440AF0A-AB0E-4FAA-A4D7-6CE7B3F0E541}" name="Gait speed test (index)" dataDxfId="12" totalsRowDxfId="11"/>
    <tableColumn id="28" xr3:uid="{48456D87-3B7C-4E38-AEC5-3597ED7F8BDF}" name="Chair stand test (index)" totalsRowDxfId="10"/>
    <tableColumn id="29" xr3:uid="{4407B45E-A625-472C-810E-D4C297602217}" name="SPPB assessment (index)" dataDxfId="9" totalsRowDxfId="8"/>
    <tableColumn id="30" xr3:uid="{CA663857-25B4-45FC-918A-37F064FCCD2F}" name="Time duration TUG test (s)" totalsRowDxfId="7"/>
    <tableColumn id="31" xr3:uid="{0E69550D-1E40-4F37-8F62-4792B2F0AB82}" name="Short FES-I assessment (index)" dataDxfId="6" totalsRowDxfId="5"/>
    <tableColumn id="36" xr3:uid="{B9796E77-9AF9-4D19-8CA3-A828889A3F7F}" name="Distance (m)"/>
    <tableColumn id="37" xr3:uid="{E8C54C3D-AECB-4AF7-BE97-222AA80AA930}" name="Time (s)"/>
    <tableColumn id="38" xr3:uid="{263CDB30-1EE2-4E23-A567-FC3547887CC2}" name="Strides"/>
    <tableColumn id="39" xr3:uid="{5B312D7E-E7C9-4F23-9AAB-FFEF93748F8B}" name="Stride time - Avg. (s)"/>
    <tableColumn id="40" xr3:uid="{A8E265B1-4E69-4D22-A26A-47531E937811}" name="Stride time - STD (s)"/>
    <tableColumn id="45" xr3:uid="{7A373A12-135C-46E4-BB58-4DE8F8818C5D}" name="Load - Avg. (%)" dataDxfId="4"/>
    <tableColumn id="46" xr3:uid="{9017C258-E9C2-4832-BC48-E113968D870F}" name="Load - STD (%)" dataDxfId="3"/>
    <tableColumn id="47" xr3:uid="{CFB65AFD-6E86-43B3-ABBC-5FEF04A21F18}" name="Foot Flat - Avg. (%)" dataDxfId="2"/>
    <tableColumn id="48" xr3:uid="{7885D553-72AA-460E-89E4-F879ED26B417}" name="Foot Flat - STD (%)" dataDxfId="1"/>
    <tableColumn id="41" xr3:uid="{2525C05F-2B3A-4FC5-BFB7-D6F1FA0F2346}" name="Push - Avg. (%)"/>
    <tableColumn id="42" xr3:uid="{77F20C8F-0739-4E3B-8BB7-0CA4E1792BEE}" name="Push - STD (%)"/>
    <tableColumn id="43" xr3:uid="{3510C200-5B54-47B9-8B46-24C652A33828}" name="Swing - Avg. (%)"/>
    <tableColumn id="44" xr3:uid="{9CB26899-0213-4563-AE9C-CB095B3A72E7}" name="Swing - STD (%)"/>
    <tableColumn id="49" xr3:uid="{7597F53D-8C49-4DAA-91A1-C61AF4A36A17}" name="Toe-Off angle - Avg. (°)"/>
    <tableColumn id="50" xr3:uid="{E7361B86-60E5-419D-BEBB-0F290B22B7E4}" name="Toe-Off angle - STD (°)"/>
    <tableColumn id="51" xr3:uid="{82C93564-258D-4330-8F98-0EBC34AB1963}" name="Heel-Strike angle - Avg. (°)"/>
    <tableColumn id="52" xr3:uid="{D73CD90B-F55D-4ABD-A4DB-A42414C96ADF}" name="Heel-Strike angle - STD (°)"/>
    <tableColumn id="53" xr3:uid="{C1717636-06E2-4C88-9545-589066A9B037}" name="Cadence - Avg. (strides/min)"/>
    <tableColumn id="54" xr3:uid="{B6BF2545-C7F7-437A-9DA0-760770CB6696}" name="Cadence - STD (strides/min)"/>
    <tableColumn id="55" xr3:uid="{B905BF3F-A648-4077-A99B-2E2BA4BD5482}" name="Step Speed - Avg. (m/s)"/>
    <tableColumn id="56" xr3:uid="{6E51EFB8-E9D4-4BDD-9D6C-D11DB0329A5F}" name="Step Speed - STD (m/s)"/>
    <tableColumn id="57" xr3:uid="{6488B320-0D33-45F5-B852-C385FC77A17A}" name="Stride Length - Avg. (m)"/>
    <tableColumn id="58" xr3:uid="{12BA392E-C1E2-4990-A28D-68984DC8D046}" name="Stride Length - STD (m)"/>
    <tableColumn id="59" xr3:uid="{55C337EF-5BF2-415F-8410-66A9560EA96F}" name="3D Path - Avg. (m)"/>
    <tableColumn id="60" xr3:uid="{439FBB13-DF93-493F-ADD2-E21BD666BD33}" name="3D Path - STD (m)"/>
    <tableColumn id="61" xr3:uid="{0A34E85A-B36E-49C6-B9CE-FD056332DE85}" name="2D Path - Avg. (m)"/>
    <tableColumn id="62" xr3:uid="{427A2B7B-4256-4605-BF85-74DAC250B001}" name="2D Path - STD (m)"/>
    <tableColumn id="63" xr3:uid="{38C222E8-F3DC-47E8-B98A-6D70F8C9DFF7}" name="Clearance - Avg. (m)"/>
    <tableColumn id="64" xr3:uid="{8591B219-C330-4C8A-8933-0ED0FB4A4A26}" name="Clearance - STD (m)" totalsRowDxfId="0"/>
    <tableColumn id="8" xr3:uid="{99FF9EA4-4B1D-9E44-82B6-2DB168CB5581}" name="Column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66"/>
  <sheetViews>
    <sheetView tabSelected="1" zoomScaleNormal="100" workbookViewId="0">
      <pane xSplit="1" ySplit="2" topLeftCell="B3" activePane="bottomRight" state="frozen"/>
      <selection pane="topRight"/>
      <selection pane="bottomLeft"/>
      <selection pane="bottomRight" activeCell="BI8" sqref="BI8"/>
    </sheetView>
  </sheetViews>
  <sheetFormatPr baseColWidth="10" defaultColWidth="8.83203125" defaultRowHeight="15" x14ac:dyDescent="0.2"/>
  <cols>
    <col min="1" max="1" width="11.1640625" bestFit="1" customWidth="1"/>
    <col min="2" max="2" width="11.1640625" customWidth="1"/>
    <col min="3" max="3" width="11.83203125" customWidth="1"/>
    <col min="4" max="4" width="21.5" style="105" customWidth="1"/>
    <col min="5" max="5" width="12.1640625" customWidth="1"/>
    <col min="6" max="6" width="10.83203125" customWidth="1"/>
    <col min="7" max="7" width="18" style="48" customWidth="1"/>
    <col min="8" max="8" width="15.83203125" customWidth="1"/>
    <col min="9" max="9" width="14.1640625" style="48" customWidth="1"/>
    <col min="10" max="10" width="11.5" customWidth="1"/>
    <col min="11" max="11" width="9.5" customWidth="1"/>
    <col min="13" max="13" width="21.33203125" customWidth="1"/>
    <col min="14" max="14" width="18" style="48" customWidth="1"/>
    <col min="15" max="15" width="18" customWidth="1"/>
    <col min="16" max="16" width="12.33203125" customWidth="1"/>
    <col min="17" max="17" width="11.1640625" bestFit="1" customWidth="1"/>
    <col min="18" max="18" width="15.6640625" customWidth="1"/>
    <col min="19" max="19" width="12.33203125" customWidth="1"/>
    <col min="20" max="20" width="12.83203125" customWidth="1"/>
    <col min="21" max="21" width="11.1640625" bestFit="1" customWidth="1"/>
    <col min="22" max="22" width="12.83203125" customWidth="1"/>
    <col min="23" max="23" width="13.1640625" customWidth="1"/>
    <col min="24" max="24" width="13.33203125" customWidth="1"/>
    <col min="25" max="25" width="15.5" customWidth="1"/>
    <col min="26" max="26" width="14.33203125" style="48" customWidth="1"/>
    <col min="27" max="27" width="14.5" customWidth="1"/>
    <col min="28" max="28" width="12.6640625" customWidth="1"/>
    <col min="29" max="29" width="14.1640625" customWidth="1"/>
    <col min="30" max="30" width="15" style="65" customWidth="1"/>
    <col min="31" max="31" width="12" customWidth="1"/>
    <col min="32" max="32" width="12.6640625" customWidth="1"/>
    <col min="33" max="33" width="17.33203125" customWidth="1"/>
    <col min="34" max="34" width="15.83203125" customWidth="1"/>
    <col min="35" max="35" width="13.1640625" style="48" customWidth="1"/>
    <col min="36" max="36" width="14.83203125" customWidth="1"/>
    <col min="37" max="37" width="18.5" customWidth="1"/>
    <col min="38" max="38" width="13.6640625" customWidth="1"/>
    <col min="39" max="39" width="21.33203125" customWidth="1"/>
    <col min="40" max="40" width="17.1640625" customWidth="1"/>
    <col min="41" max="41" width="20.83203125" customWidth="1"/>
    <col min="42" max="42" width="13.5" customWidth="1"/>
    <col min="43" max="43" width="20.6640625" customWidth="1"/>
    <col min="44" max="44" width="13.6640625" customWidth="1"/>
    <col min="45" max="45" width="18.5" customWidth="1"/>
    <col min="46" max="46" width="13.83203125" customWidth="1"/>
    <col min="47" max="47" width="19.83203125" customWidth="1"/>
    <col min="48" max="48" width="14.6640625" customWidth="1"/>
    <col min="49" max="49" width="16.33203125" customWidth="1"/>
    <col min="50" max="56" width="13.5" customWidth="1"/>
    <col min="57" max="57" width="16.33203125" customWidth="1"/>
    <col min="58" max="60" width="13.5" customWidth="1"/>
    <col min="61" max="70" width="11.1640625" bestFit="1" customWidth="1"/>
  </cols>
  <sheetData>
    <row r="1" spans="1:61" s="2" customFormat="1" ht="28.5" customHeight="1" thickBot="1" x14ac:dyDescent="0.25">
      <c r="A1" s="102"/>
      <c r="B1" s="146" t="s">
        <v>15</v>
      </c>
      <c r="C1" s="147"/>
      <c r="D1" s="147"/>
      <c r="E1" s="147"/>
      <c r="F1" s="147"/>
      <c r="G1" s="147"/>
      <c r="H1" s="147"/>
      <c r="I1" s="148"/>
      <c r="J1" s="155"/>
      <c r="K1" s="155"/>
      <c r="L1" s="156"/>
      <c r="M1" s="152" t="s">
        <v>269</v>
      </c>
      <c r="N1" s="153"/>
      <c r="O1" s="153"/>
      <c r="P1" s="154"/>
      <c r="Q1" s="157" t="s">
        <v>23</v>
      </c>
      <c r="R1" s="158"/>
      <c r="S1" s="159" t="s">
        <v>25</v>
      </c>
      <c r="T1" s="160"/>
      <c r="U1" s="160"/>
      <c r="V1" s="160"/>
      <c r="W1" s="160"/>
      <c r="X1" s="160"/>
      <c r="Y1" s="161"/>
      <c r="Z1" s="149" t="s">
        <v>262</v>
      </c>
      <c r="AA1" s="150"/>
      <c r="AB1" s="150"/>
      <c r="AC1" s="151"/>
      <c r="AD1" s="43" t="s">
        <v>264</v>
      </c>
      <c r="AE1" s="114" t="s">
        <v>39</v>
      </c>
      <c r="AF1" s="144" t="s">
        <v>42</v>
      </c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2"/>
      <c r="AT1" s="142"/>
      <c r="AU1" s="142"/>
      <c r="AV1" s="142"/>
      <c r="AW1" s="142"/>
      <c r="AX1" s="142"/>
      <c r="AY1" s="142"/>
      <c r="AZ1" s="142"/>
      <c r="BA1" s="142"/>
      <c r="BB1" s="142"/>
      <c r="BC1" s="142"/>
      <c r="BD1" s="142"/>
      <c r="BE1" s="142"/>
      <c r="BF1" s="142"/>
      <c r="BG1" s="142"/>
      <c r="BH1" s="143"/>
    </row>
    <row r="2" spans="1:61" ht="41.5" customHeight="1" thickBot="1" x14ac:dyDescent="0.25">
      <c r="A2" s="103" t="s">
        <v>14</v>
      </c>
      <c r="B2" s="104" t="s">
        <v>260</v>
      </c>
      <c r="C2" s="107" t="s">
        <v>271</v>
      </c>
      <c r="D2" s="106" t="s">
        <v>268</v>
      </c>
      <c r="E2" s="51" t="s">
        <v>16</v>
      </c>
      <c r="F2" s="108" t="s">
        <v>86</v>
      </c>
      <c r="G2" s="104" t="s">
        <v>64</v>
      </c>
      <c r="H2" s="51" t="s">
        <v>18</v>
      </c>
      <c r="I2" s="51" t="s">
        <v>65</v>
      </c>
      <c r="J2" s="52" t="s">
        <v>285</v>
      </c>
      <c r="K2" s="52" t="s">
        <v>17</v>
      </c>
      <c r="L2" s="52" t="s">
        <v>19</v>
      </c>
      <c r="M2" s="53" t="s">
        <v>20</v>
      </c>
      <c r="N2" s="54" t="s">
        <v>21</v>
      </c>
      <c r="O2" s="54" t="s">
        <v>22</v>
      </c>
      <c r="P2" s="71" t="s">
        <v>78</v>
      </c>
      <c r="Q2" s="55" t="s">
        <v>70</v>
      </c>
      <c r="R2" s="56" t="s">
        <v>24</v>
      </c>
      <c r="S2" s="57" t="s">
        <v>26</v>
      </c>
      <c r="T2" s="64" t="s">
        <v>71</v>
      </c>
      <c r="U2" s="58" t="s">
        <v>28</v>
      </c>
      <c r="V2" s="58" t="s">
        <v>31</v>
      </c>
      <c r="W2" s="58" t="s">
        <v>30</v>
      </c>
      <c r="X2" s="64" t="s">
        <v>72</v>
      </c>
      <c r="Y2" s="59" t="s">
        <v>34</v>
      </c>
      <c r="Z2" s="60" t="s">
        <v>35</v>
      </c>
      <c r="AA2" s="61" t="s">
        <v>75</v>
      </c>
      <c r="AB2" s="61" t="s">
        <v>76</v>
      </c>
      <c r="AC2" s="62" t="s">
        <v>38</v>
      </c>
      <c r="AD2" s="63" t="s">
        <v>265</v>
      </c>
      <c r="AE2" s="115" t="s">
        <v>41</v>
      </c>
      <c r="AF2" s="33" t="s">
        <v>43</v>
      </c>
      <c r="AG2" s="33" t="s">
        <v>44</v>
      </c>
      <c r="AH2" s="33" t="s">
        <v>45</v>
      </c>
      <c r="AI2" s="33" t="s">
        <v>52</v>
      </c>
      <c r="AJ2" s="33" t="s">
        <v>53</v>
      </c>
      <c r="AK2" s="101" t="s">
        <v>273</v>
      </c>
      <c r="AL2" s="101" t="s">
        <v>274</v>
      </c>
      <c r="AM2" s="101" t="s">
        <v>47</v>
      </c>
      <c r="AN2" s="101" t="s">
        <v>55</v>
      </c>
      <c r="AO2" s="101" t="s">
        <v>288</v>
      </c>
      <c r="AP2" s="101" t="s">
        <v>289</v>
      </c>
      <c r="AQ2" s="101" t="s">
        <v>46</v>
      </c>
      <c r="AR2" s="101" t="s">
        <v>54</v>
      </c>
      <c r="AS2" s="33" t="s">
        <v>275</v>
      </c>
      <c r="AT2" s="33" t="s">
        <v>276</v>
      </c>
      <c r="AU2" s="33" t="s">
        <v>277</v>
      </c>
      <c r="AV2" s="33" t="s">
        <v>278</v>
      </c>
      <c r="AW2" s="33" t="s">
        <v>61</v>
      </c>
      <c r="AX2" s="33" t="s">
        <v>60</v>
      </c>
      <c r="AY2" s="33" t="s">
        <v>48</v>
      </c>
      <c r="AZ2" s="33" t="s">
        <v>56</v>
      </c>
      <c r="BA2" s="33" t="s">
        <v>49</v>
      </c>
      <c r="BB2" s="33" t="s">
        <v>57</v>
      </c>
      <c r="BC2" s="33" t="s">
        <v>50</v>
      </c>
      <c r="BD2" s="100" t="s">
        <v>101</v>
      </c>
      <c r="BE2" s="100" t="s">
        <v>51</v>
      </c>
      <c r="BF2" s="100" t="s">
        <v>102</v>
      </c>
      <c r="BG2" s="49" t="s">
        <v>58</v>
      </c>
      <c r="BH2" s="50" t="s">
        <v>59</v>
      </c>
      <c r="BI2" s="33" t="s">
        <v>291</v>
      </c>
    </row>
    <row r="3" spans="1:61" s="94" customFormat="1" ht="64.25" customHeight="1" thickBot="1" x14ac:dyDescent="0.25">
      <c r="A3" s="81"/>
      <c r="B3" s="82" t="s">
        <v>261</v>
      </c>
      <c r="C3" s="82" t="s">
        <v>266</v>
      </c>
      <c r="D3" s="139"/>
      <c r="E3" s="83" t="s">
        <v>63</v>
      </c>
      <c r="F3" s="84" t="s">
        <v>106</v>
      </c>
      <c r="G3" s="82"/>
      <c r="H3" s="99"/>
      <c r="I3" s="85" t="s">
        <v>87</v>
      </c>
      <c r="J3" s="87"/>
      <c r="K3" s="87" t="s">
        <v>68</v>
      </c>
      <c r="L3" s="87"/>
      <c r="M3" s="88"/>
      <c r="N3" s="86"/>
      <c r="O3" s="89" t="s">
        <v>66</v>
      </c>
      <c r="P3" s="90" t="s">
        <v>79</v>
      </c>
      <c r="Q3" s="91" t="s">
        <v>67</v>
      </c>
      <c r="R3" s="92" t="s">
        <v>69</v>
      </c>
      <c r="S3" s="95" t="s">
        <v>267</v>
      </c>
      <c r="T3" s="95" t="s">
        <v>27</v>
      </c>
      <c r="U3" s="95" t="s">
        <v>29</v>
      </c>
      <c r="V3" s="95"/>
      <c r="W3" s="95" t="s">
        <v>32</v>
      </c>
      <c r="X3" s="95" t="s">
        <v>73</v>
      </c>
      <c r="Y3" s="95" t="s">
        <v>33</v>
      </c>
      <c r="Z3" s="96" t="s">
        <v>36</v>
      </c>
      <c r="AA3" s="96" t="s">
        <v>74</v>
      </c>
      <c r="AB3" s="96" t="s">
        <v>77</v>
      </c>
      <c r="AC3" s="96" t="s">
        <v>37</v>
      </c>
      <c r="AD3" s="97"/>
      <c r="AE3" s="98" t="s">
        <v>40</v>
      </c>
      <c r="AF3" s="93"/>
      <c r="AG3" s="93"/>
      <c r="AH3" s="93"/>
      <c r="AI3" s="93"/>
      <c r="AJ3" s="93"/>
      <c r="AK3" s="93" t="s">
        <v>286</v>
      </c>
      <c r="AL3" s="93"/>
      <c r="AM3" s="93" t="s">
        <v>100</v>
      </c>
      <c r="AN3" s="93"/>
      <c r="AO3" s="93" t="s">
        <v>287</v>
      </c>
      <c r="AP3" s="93"/>
      <c r="AQ3" s="93" t="s">
        <v>99</v>
      </c>
      <c r="AR3" s="93"/>
      <c r="AS3" s="93" t="s">
        <v>97</v>
      </c>
      <c r="AT3" s="93"/>
      <c r="AU3" s="93" t="s">
        <v>98</v>
      </c>
      <c r="AV3" s="93"/>
      <c r="AW3" s="93"/>
      <c r="AX3" s="93"/>
      <c r="AY3" s="93"/>
      <c r="AZ3" s="93"/>
      <c r="BA3" s="93"/>
      <c r="BB3" s="93"/>
      <c r="BC3" s="93"/>
      <c r="BD3" s="93"/>
      <c r="BE3" s="93" t="s">
        <v>103</v>
      </c>
      <c r="BF3" s="93"/>
      <c r="BG3" s="93"/>
      <c r="BH3" s="93"/>
    </row>
    <row r="4" spans="1:61" ht="15.75" customHeight="1" x14ac:dyDescent="0.2">
      <c r="A4" s="21">
        <v>1</v>
      </c>
      <c r="B4" s="21" t="s">
        <v>88</v>
      </c>
      <c r="C4" s="44"/>
      <c r="D4" s="140">
        <v>44409</v>
      </c>
      <c r="E4" s="4" t="s">
        <v>0</v>
      </c>
      <c r="F4" s="109" t="s">
        <v>62</v>
      </c>
      <c r="G4" s="110" t="s">
        <v>1</v>
      </c>
      <c r="H4" s="78" t="s">
        <v>2</v>
      </c>
      <c r="I4" s="72" t="s">
        <v>82</v>
      </c>
      <c r="J4" s="2" t="s">
        <v>279</v>
      </c>
      <c r="K4" s="2" t="s">
        <v>3</v>
      </c>
      <c r="L4" s="22" t="s">
        <v>0</v>
      </c>
      <c r="M4" s="123">
        <v>59</v>
      </c>
      <c r="N4" s="116">
        <v>1.62</v>
      </c>
      <c r="O4" s="31">
        <f t="shared" ref="O4:O36" si="0">IFERROR(M4/(N4^2),"--")</f>
        <v>22.481329065691202</v>
      </c>
      <c r="P4" s="2">
        <v>1</v>
      </c>
      <c r="Q4" s="130">
        <v>2.82</v>
      </c>
      <c r="R4" s="27">
        <f t="shared" ref="R4:R36" si="1">IFERROR(4/Q4,"--")</f>
        <v>1.4184397163120568</v>
      </c>
      <c r="S4" s="2" t="s">
        <v>84</v>
      </c>
      <c r="T4" s="66" t="s">
        <v>0</v>
      </c>
      <c r="U4" s="23" t="str">
        <f t="shared" ref="U4:U35" si="2">IF(AND(K4="M",N4&lt;=1.64),IF(R4&lt;0.5,"YES","NO"),"")  &amp;  IF(AND(K4="M",N4&gt;1.64),IF(R4&lt;0.43,"YES","NO"),"") &amp; IF(AND(K4="F",N4&lt;=1.52),IF(R4&lt;0.41,"YES","NO"),"") &amp; IF(AND(K4="F",N4&gt;1.52),IF(R4&lt;0.33,"YES","NO"),"")</f>
        <v>NO</v>
      </c>
      <c r="V4" s="123">
        <v>15.2</v>
      </c>
      <c r="W4" s="23" t="str">
        <f>IF(OR(V4="Incapable",V4="-"),"-",IF(AND(K4="M",O4&lt;=26.4),IF(V4&lt;=19.1,"YES","NO"),"") &amp;  IF(AND(K4="M",O4&gt;26.4),IF(V4&lt;=22.9,"YES","NO"),"")  &amp; IF(AND(K4="F",O4&lt;=26.4),IF(V4&lt;11,"YES","NO"),"") &amp; IF(AND(K4="F",O4&gt;26.4),IF(V4&lt;12,"YES","NO"),""))</f>
        <v>NO</v>
      </c>
      <c r="X4" s="66" t="s">
        <v>0</v>
      </c>
      <c r="Y4" s="23">
        <f t="shared" ref="Y4:Y35" si="3">SUM(S4="YES",T4="YES",U4="YES",W4="YES",X4="YES")</f>
        <v>1</v>
      </c>
      <c r="Z4" s="11">
        <v>4</v>
      </c>
      <c r="AA4" s="28">
        <f t="shared" ref="AA4:AA35" si="4">(Q4&lt;&gt;"Incapable")*1+(Q4&lt;8.7)*1+(Q4&lt;6.2)*1+(Q4&lt;4.82)*1</f>
        <v>4</v>
      </c>
      <c r="AB4" s="2">
        <v>3</v>
      </c>
      <c r="AC4" s="24">
        <f t="shared" ref="AC4:AC35" si="5">SUM(Z4:AB4)</f>
        <v>11</v>
      </c>
      <c r="AD4" s="116">
        <v>10.29</v>
      </c>
      <c r="AE4" s="5">
        <v>9</v>
      </c>
      <c r="AF4" s="138">
        <v>2047.4259999999999</v>
      </c>
      <c r="AG4" s="137">
        <v>1721.2650000000001</v>
      </c>
      <c r="AH4" s="32">
        <v>1688</v>
      </c>
      <c r="AI4" s="138">
        <v>1.022</v>
      </c>
      <c r="AJ4" s="138">
        <v>7.1999999999999995E-2</v>
      </c>
      <c r="AK4" s="137">
        <v>12.78</v>
      </c>
      <c r="AL4" s="137">
        <v>1.56</v>
      </c>
      <c r="AM4" s="137">
        <v>35.54</v>
      </c>
      <c r="AN4" s="137">
        <v>2.88</v>
      </c>
      <c r="AO4" s="137">
        <v>19.52</v>
      </c>
      <c r="AP4" s="137">
        <v>1.63</v>
      </c>
      <c r="AQ4" s="137">
        <v>31.94</v>
      </c>
      <c r="AR4" s="137">
        <v>1.73</v>
      </c>
      <c r="AS4" s="137">
        <v>-71.62</v>
      </c>
      <c r="AT4" s="137">
        <v>4.931</v>
      </c>
      <c r="AU4" s="137">
        <v>27.523</v>
      </c>
      <c r="AV4" s="137">
        <v>3.9129999999999998</v>
      </c>
      <c r="AW4" s="137">
        <v>59.008000000000003</v>
      </c>
      <c r="AX4" s="137">
        <v>4.4020000000000001</v>
      </c>
      <c r="AY4" s="138">
        <v>1.353</v>
      </c>
      <c r="AZ4" s="138">
        <v>0.11700000000000001</v>
      </c>
      <c r="BA4" s="138">
        <v>1.2130000000000001</v>
      </c>
      <c r="BB4" s="138">
        <v>9.2999999999999999E-2</v>
      </c>
      <c r="BC4" s="138">
        <v>1.373</v>
      </c>
      <c r="BD4" s="138">
        <v>6.2E-2</v>
      </c>
      <c r="BE4" s="138">
        <v>1.2350000000000001</v>
      </c>
      <c r="BF4" s="138">
        <v>9.0999999999999998E-2</v>
      </c>
      <c r="BG4" s="138">
        <v>0.52</v>
      </c>
      <c r="BH4" s="138">
        <v>0.123</v>
      </c>
    </row>
    <row r="5" spans="1:61" x14ac:dyDescent="0.2">
      <c r="A5" s="21">
        <v>2</v>
      </c>
      <c r="B5" s="21" t="s">
        <v>89</v>
      </c>
      <c r="C5" s="44"/>
      <c r="D5" s="140">
        <v>44409</v>
      </c>
      <c r="E5" s="4" t="s">
        <v>0</v>
      </c>
      <c r="F5" s="109" t="s">
        <v>62</v>
      </c>
      <c r="G5" s="8" t="s">
        <v>4</v>
      </c>
      <c r="H5" s="74" t="s">
        <v>2</v>
      </c>
      <c r="I5" s="73" t="s">
        <v>82</v>
      </c>
      <c r="J5" s="17" t="s">
        <v>279</v>
      </c>
      <c r="K5" s="17" t="s">
        <v>5</v>
      </c>
      <c r="L5" s="20" t="s">
        <v>0</v>
      </c>
      <c r="M5" s="124">
        <v>67</v>
      </c>
      <c r="N5" s="117">
        <v>1.7</v>
      </c>
      <c r="O5" s="31">
        <f t="shared" si="0"/>
        <v>23.183391003460208</v>
      </c>
      <c r="P5" s="17">
        <v>1</v>
      </c>
      <c r="Q5" s="131">
        <v>4.32</v>
      </c>
      <c r="R5" s="27">
        <f t="shared" si="1"/>
        <v>0.92592592592592582</v>
      </c>
      <c r="S5" s="17" t="s">
        <v>0</v>
      </c>
      <c r="T5" s="18" t="s">
        <v>0</v>
      </c>
      <c r="U5" s="23" t="str">
        <f t="shared" si="2"/>
        <v>NO</v>
      </c>
      <c r="V5" s="124">
        <v>15.7</v>
      </c>
      <c r="W5" s="23" t="str">
        <f t="shared" ref="W5:W68" si="6">IF(OR(V5="Incapable",V5="-"),"-",IF(AND(K5="M",O5&lt;=26.4),IF(V5&lt;=19.1,"YES","NO"),"") &amp;  IF(AND(K5="M",O5&gt;26.4),IF(V5&lt;=22.9,"YES","NO"),"")  &amp; IF(AND(K5="F",O5&lt;=26.4),IF(V5&lt;11,"YES","NO"),"") &amp; IF(AND(K5="F",O5&gt;26.4),IF(V5&lt;12,"YES","NO"),""))</f>
        <v>YES</v>
      </c>
      <c r="X5" s="18" t="s">
        <v>0</v>
      </c>
      <c r="Y5" s="23">
        <f t="shared" si="3"/>
        <v>1</v>
      </c>
      <c r="Z5" s="13">
        <v>4</v>
      </c>
      <c r="AA5" s="28">
        <f t="shared" si="4"/>
        <v>4</v>
      </c>
      <c r="AB5" s="17">
        <v>1</v>
      </c>
      <c r="AC5" s="24">
        <f t="shared" si="5"/>
        <v>9</v>
      </c>
      <c r="AD5" s="117">
        <v>8.6</v>
      </c>
      <c r="AE5" s="7">
        <v>7</v>
      </c>
      <c r="AF5" s="138">
        <v>1357.021</v>
      </c>
      <c r="AG5" s="137">
        <v>1630.18</v>
      </c>
      <c r="AH5" s="32">
        <v>1278</v>
      </c>
      <c r="AI5" s="138">
        <v>1.2869999999999999</v>
      </c>
      <c r="AJ5" s="138">
        <v>0.126</v>
      </c>
      <c r="AK5" s="137">
        <v>8.9499999999999993</v>
      </c>
      <c r="AL5" s="137">
        <v>1.83</v>
      </c>
      <c r="AM5" s="137">
        <v>42.68</v>
      </c>
      <c r="AN5" s="137">
        <v>4.5999999999999996</v>
      </c>
      <c r="AO5" s="137">
        <v>17.36</v>
      </c>
      <c r="AP5" s="137">
        <v>2.33</v>
      </c>
      <c r="AQ5" s="137">
        <v>30.5</v>
      </c>
      <c r="AR5" s="137">
        <v>2.64</v>
      </c>
      <c r="AS5" s="137">
        <v>-61.405000000000001</v>
      </c>
      <c r="AT5" s="137">
        <v>8.2959999999999994</v>
      </c>
      <c r="AU5" s="137">
        <v>13.704000000000001</v>
      </c>
      <c r="AV5" s="137">
        <v>3.5750000000000002</v>
      </c>
      <c r="AW5" s="137">
        <v>46.865000000000002</v>
      </c>
      <c r="AX5" s="137">
        <v>4.7750000000000004</v>
      </c>
      <c r="AY5" s="138">
        <v>0.9</v>
      </c>
      <c r="AZ5" s="138">
        <v>0.11799999999999999</v>
      </c>
      <c r="BA5" s="138">
        <v>1.0880000000000001</v>
      </c>
      <c r="BB5" s="138">
        <v>0.111</v>
      </c>
      <c r="BC5" s="138">
        <v>1.1479999999999999</v>
      </c>
      <c r="BD5" s="138">
        <v>0.11700000000000001</v>
      </c>
      <c r="BE5" s="138">
        <v>1.107</v>
      </c>
      <c r="BF5" s="138">
        <v>0.114</v>
      </c>
      <c r="BG5" s="138">
        <v>0.12</v>
      </c>
      <c r="BH5" s="138">
        <v>3.5000000000000003E-2</v>
      </c>
    </row>
    <row r="6" spans="1:61" x14ac:dyDescent="0.2">
      <c r="A6" s="21">
        <v>3</v>
      </c>
      <c r="B6" s="21" t="s">
        <v>90</v>
      </c>
      <c r="C6" s="44"/>
      <c r="D6" s="140">
        <v>44409</v>
      </c>
      <c r="E6" s="4" t="s">
        <v>0</v>
      </c>
      <c r="F6" s="109" t="s">
        <v>62</v>
      </c>
      <c r="G6" s="8" t="s">
        <v>6</v>
      </c>
      <c r="H6" s="74" t="s">
        <v>2</v>
      </c>
      <c r="I6" s="73" t="s">
        <v>82</v>
      </c>
      <c r="J6" s="17" t="s">
        <v>280</v>
      </c>
      <c r="K6" s="17" t="s">
        <v>3</v>
      </c>
      <c r="L6" s="20" t="s">
        <v>0</v>
      </c>
      <c r="M6" s="124">
        <v>68</v>
      </c>
      <c r="N6" s="117">
        <v>1.71</v>
      </c>
      <c r="O6" s="31">
        <f t="shared" si="0"/>
        <v>23.255018638213471</v>
      </c>
      <c r="P6" s="17">
        <v>1</v>
      </c>
      <c r="Q6" s="131">
        <v>4.8</v>
      </c>
      <c r="R6" s="27">
        <f t="shared" si="1"/>
        <v>0.83333333333333337</v>
      </c>
      <c r="S6" s="17" t="s">
        <v>0</v>
      </c>
      <c r="T6" s="18" t="s">
        <v>0</v>
      </c>
      <c r="U6" s="23" t="str">
        <f t="shared" si="2"/>
        <v>NO</v>
      </c>
      <c r="V6" s="124">
        <v>17.8</v>
      </c>
      <c r="W6" s="23" t="str">
        <f t="shared" si="6"/>
        <v>NO</v>
      </c>
      <c r="X6" s="18" t="s">
        <v>0</v>
      </c>
      <c r="Y6" s="23">
        <f t="shared" si="3"/>
        <v>0</v>
      </c>
      <c r="Z6" s="13">
        <v>4</v>
      </c>
      <c r="AA6" s="28">
        <f t="shared" si="4"/>
        <v>4</v>
      </c>
      <c r="AB6" s="17">
        <v>1</v>
      </c>
      <c r="AC6" s="24">
        <f t="shared" si="5"/>
        <v>9</v>
      </c>
      <c r="AD6" s="117">
        <v>10.87</v>
      </c>
      <c r="AE6" s="7">
        <v>14</v>
      </c>
      <c r="AF6" s="138">
        <v>1344.0440000000001</v>
      </c>
      <c r="AG6" s="137">
        <v>1626.636</v>
      </c>
      <c r="AH6" s="32">
        <v>1202</v>
      </c>
      <c r="AI6" s="138">
        <v>1.361</v>
      </c>
      <c r="AJ6" s="138">
        <v>0.13400000000000001</v>
      </c>
      <c r="AK6" s="137">
        <v>11.17</v>
      </c>
      <c r="AL6" s="137">
        <v>1.9</v>
      </c>
      <c r="AM6" s="137">
        <v>41.2</v>
      </c>
      <c r="AN6" s="137">
        <v>3.83</v>
      </c>
      <c r="AO6" s="137">
        <v>17.46</v>
      </c>
      <c r="AP6" s="137">
        <v>2.0299999999999998</v>
      </c>
      <c r="AQ6" s="137">
        <v>30.06</v>
      </c>
      <c r="AR6" s="137">
        <v>2.23</v>
      </c>
      <c r="AS6" s="137">
        <v>-60.284999999999997</v>
      </c>
      <c r="AT6" s="137">
        <v>6.9560000000000004</v>
      </c>
      <c r="AU6" s="137">
        <v>18.858000000000001</v>
      </c>
      <c r="AV6" s="137">
        <v>3.431</v>
      </c>
      <c r="AW6" s="137">
        <v>44.372999999999998</v>
      </c>
      <c r="AX6" s="137">
        <v>4.3280000000000003</v>
      </c>
      <c r="AY6" s="138">
        <v>0.89900000000000002</v>
      </c>
      <c r="AZ6" s="138">
        <v>0.109</v>
      </c>
      <c r="BA6" s="138">
        <v>1.1379999999999999</v>
      </c>
      <c r="BB6" s="138">
        <v>0.12</v>
      </c>
      <c r="BC6" s="138">
        <v>1.216</v>
      </c>
      <c r="BD6" s="138">
        <v>0.123</v>
      </c>
      <c r="BE6" s="138">
        <v>1.1579999999999999</v>
      </c>
      <c r="BF6" s="138">
        <v>0.122</v>
      </c>
      <c r="BG6" s="138">
        <v>0.109</v>
      </c>
      <c r="BH6" s="138">
        <v>3.1E-2</v>
      </c>
    </row>
    <row r="7" spans="1:61" x14ac:dyDescent="0.2">
      <c r="A7" s="21">
        <v>4</v>
      </c>
      <c r="B7" s="21" t="s">
        <v>91</v>
      </c>
      <c r="C7" s="44"/>
      <c r="D7" s="140">
        <v>44409</v>
      </c>
      <c r="E7" s="4" t="s">
        <v>0</v>
      </c>
      <c r="F7" s="109" t="s">
        <v>62</v>
      </c>
      <c r="G7" s="110">
        <v>877</v>
      </c>
      <c r="H7" s="78" t="s">
        <v>80</v>
      </c>
      <c r="I7" s="73" t="s">
        <v>82</v>
      </c>
      <c r="J7" s="2" t="s">
        <v>279</v>
      </c>
      <c r="K7" s="2" t="s">
        <v>5</v>
      </c>
      <c r="L7" s="20" t="s">
        <v>0</v>
      </c>
      <c r="M7" s="123">
        <v>52</v>
      </c>
      <c r="N7" s="116">
        <v>1.6</v>
      </c>
      <c r="O7" s="31">
        <f>IFERROR(M7/(N7^2),"--")</f>
        <v>20.312499999999996</v>
      </c>
      <c r="P7" s="2">
        <v>5</v>
      </c>
      <c r="Q7" s="130">
        <v>5.41</v>
      </c>
      <c r="R7" s="27">
        <f t="shared" si="1"/>
        <v>0.73937153419593349</v>
      </c>
      <c r="S7" s="2" t="s">
        <v>84</v>
      </c>
      <c r="T7" s="18" t="s">
        <v>0</v>
      </c>
      <c r="U7" s="23" t="str">
        <f t="shared" si="2"/>
        <v>NO</v>
      </c>
      <c r="V7" s="123" t="s">
        <v>263</v>
      </c>
      <c r="W7" s="23" t="str">
        <f t="shared" si="6"/>
        <v>-</v>
      </c>
      <c r="X7" s="18" t="s">
        <v>0</v>
      </c>
      <c r="Y7" s="23">
        <f t="shared" si="3"/>
        <v>1</v>
      </c>
      <c r="Z7" s="11">
        <v>4</v>
      </c>
      <c r="AA7" s="28">
        <f t="shared" si="4"/>
        <v>3</v>
      </c>
      <c r="AB7" s="2">
        <v>2</v>
      </c>
      <c r="AC7" s="24">
        <f t="shared" si="5"/>
        <v>9</v>
      </c>
      <c r="AD7" s="116">
        <v>13.72</v>
      </c>
      <c r="AE7" s="5" t="s">
        <v>105</v>
      </c>
      <c r="AF7" s="138">
        <v>1217.9490000000001</v>
      </c>
      <c r="AG7" s="137">
        <v>1622.442</v>
      </c>
      <c r="AH7" s="32">
        <v>1273</v>
      </c>
      <c r="AI7" s="138">
        <v>1.2869999999999999</v>
      </c>
      <c r="AJ7" s="138">
        <v>0.108</v>
      </c>
      <c r="AK7" s="137">
        <v>8.85</v>
      </c>
      <c r="AL7" s="137">
        <v>1.43</v>
      </c>
      <c r="AM7" s="137">
        <v>46.31</v>
      </c>
      <c r="AN7" s="137">
        <v>3.74</v>
      </c>
      <c r="AO7" s="137">
        <v>15.6</v>
      </c>
      <c r="AP7" s="137">
        <v>2.0099999999999998</v>
      </c>
      <c r="AQ7" s="137">
        <v>29.11</v>
      </c>
      <c r="AR7" s="137">
        <v>2.08</v>
      </c>
      <c r="AS7" s="137">
        <v>-52.113999999999997</v>
      </c>
      <c r="AT7" s="137">
        <v>6.0529999999999999</v>
      </c>
      <c r="AU7" s="137">
        <v>13.018000000000001</v>
      </c>
      <c r="AV7" s="137">
        <v>2.6120000000000001</v>
      </c>
      <c r="AW7" s="137">
        <v>46.871000000000002</v>
      </c>
      <c r="AX7" s="137">
        <v>4.0469999999999997</v>
      </c>
      <c r="AY7" s="138">
        <v>0.79700000000000004</v>
      </c>
      <c r="AZ7" s="138">
        <v>0.111</v>
      </c>
      <c r="BA7" s="138">
        <v>0.97199999999999998</v>
      </c>
      <c r="BB7" s="138">
        <v>0.10199999999999999</v>
      </c>
      <c r="BC7" s="138">
        <v>1.0149999999999999</v>
      </c>
      <c r="BD7" s="138">
        <v>0.105</v>
      </c>
      <c r="BE7" s="138">
        <v>0.98399999999999999</v>
      </c>
      <c r="BF7" s="138">
        <v>0.10299999999999999</v>
      </c>
      <c r="BG7" s="138">
        <v>8.1000000000000003E-2</v>
      </c>
      <c r="BH7" s="138">
        <v>1.7999999999999999E-2</v>
      </c>
    </row>
    <row r="8" spans="1:61" x14ac:dyDescent="0.2">
      <c r="A8" s="21">
        <v>5</v>
      </c>
      <c r="B8" s="21" t="s">
        <v>92</v>
      </c>
      <c r="C8" s="44"/>
      <c r="D8" s="140">
        <v>44409</v>
      </c>
      <c r="E8" s="4" t="s">
        <v>0</v>
      </c>
      <c r="F8" s="109" t="s">
        <v>62</v>
      </c>
      <c r="G8" s="110" t="s">
        <v>4</v>
      </c>
      <c r="H8" s="78" t="s">
        <v>80</v>
      </c>
      <c r="I8" s="73" t="s">
        <v>82</v>
      </c>
      <c r="J8" s="2" t="s">
        <v>281</v>
      </c>
      <c r="K8" s="2" t="s">
        <v>5</v>
      </c>
      <c r="L8" s="20" t="s">
        <v>0</v>
      </c>
      <c r="M8" s="123">
        <v>93</v>
      </c>
      <c r="N8" s="116">
        <v>1.7</v>
      </c>
      <c r="O8" s="31">
        <f t="shared" si="0"/>
        <v>32.179930795847753</v>
      </c>
      <c r="P8" s="2">
        <v>2</v>
      </c>
      <c r="Q8" s="130">
        <v>6.23</v>
      </c>
      <c r="R8" s="27">
        <f t="shared" si="1"/>
        <v>0.6420545746388443</v>
      </c>
      <c r="S8" s="2" t="s">
        <v>0</v>
      </c>
      <c r="T8" s="66" t="s">
        <v>84</v>
      </c>
      <c r="U8" s="23" t="str">
        <f t="shared" si="2"/>
        <v>NO</v>
      </c>
      <c r="V8" s="123" t="s">
        <v>263</v>
      </c>
      <c r="W8" s="23" t="str">
        <f t="shared" si="6"/>
        <v>-</v>
      </c>
      <c r="X8" s="18" t="s">
        <v>0</v>
      </c>
      <c r="Y8" s="23">
        <f t="shared" si="3"/>
        <v>1</v>
      </c>
      <c r="Z8" s="11">
        <v>3</v>
      </c>
      <c r="AA8" s="28">
        <f t="shared" si="4"/>
        <v>2</v>
      </c>
      <c r="AB8" s="2">
        <v>0</v>
      </c>
      <c r="AC8" s="24">
        <f t="shared" si="5"/>
        <v>5</v>
      </c>
      <c r="AD8" s="116">
        <v>16.48</v>
      </c>
      <c r="AE8" s="5" t="s">
        <v>263</v>
      </c>
      <c r="AF8" s="138">
        <v>390.37</v>
      </c>
      <c r="AG8" s="137">
        <v>793.25</v>
      </c>
      <c r="AH8" s="32">
        <v>572</v>
      </c>
      <c r="AI8" s="138">
        <v>1.389</v>
      </c>
      <c r="AJ8" s="138">
        <v>7.3999999999999996E-2</v>
      </c>
      <c r="AK8" s="137">
        <v>9.84</v>
      </c>
      <c r="AL8" s="137">
        <v>2.08</v>
      </c>
      <c r="AM8" s="137">
        <v>50.88</v>
      </c>
      <c r="AN8" s="137">
        <v>3.64</v>
      </c>
      <c r="AO8" s="137">
        <v>13.57</v>
      </c>
      <c r="AP8" s="137">
        <v>1.08</v>
      </c>
      <c r="AQ8" s="137">
        <v>25.8</v>
      </c>
      <c r="AR8" s="137">
        <v>1.92</v>
      </c>
      <c r="AS8" s="137">
        <v>-37.006999999999998</v>
      </c>
      <c r="AT8" s="137">
        <v>3.972</v>
      </c>
      <c r="AU8" s="137">
        <v>8.9559999999999995</v>
      </c>
      <c r="AV8" s="137">
        <v>2.1960000000000002</v>
      </c>
      <c r="AW8" s="137">
        <v>43.316000000000003</v>
      </c>
      <c r="AX8" s="137">
        <v>2.4</v>
      </c>
      <c r="AY8" s="138">
        <v>0.53</v>
      </c>
      <c r="AZ8" s="138">
        <v>0.06</v>
      </c>
      <c r="BA8" s="138">
        <v>0.69499999999999995</v>
      </c>
      <c r="BB8" s="138">
        <v>6.9000000000000006E-2</v>
      </c>
      <c r="BC8" s="138">
        <v>0.73399999999999999</v>
      </c>
      <c r="BD8" s="138">
        <v>7.4999999999999997E-2</v>
      </c>
      <c r="BE8" s="138">
        <v>0.70499999999999996</v>
      </c>
      <c r="BF8" s="138">
        <v>7.1999999999999995E-2</v>
      </c>
      <c r="BG8" s="138">
        <v>7.0000000000000007E-2</v>
      </c>
      <c r="BH8" s="138">
        <v>1.6E-2</v>
      </c>
      <c r="BI8" t="s">
        <v>290</v>
      </c>
    </row>
    <row r="9" spans="1:61" x14ac:dyDescent="0.2">
      <c r="A9" s="21">
        <v>6</v>
      </c>
      <c r="B9" s="21" t="s">
        <v>111</v>
      </c>
      <c r="C9" s="44"/>
      <c r="D9" s="140">
        <v>44440</v>
      </c>
      <c r="E9" s="4" t="s">
        <v>0</v>
      </c>
      <c r="F9" s="109" t="s">
        <v>62</v>
      </c>
      <c r="G9" s="110" t="s">
        <v>1</v>
      </c>
      <c r="H9" s="78" t="s">
        <v>80</v>
      </c>
      <c r="I9" s="73" t="s">
        <v>82</v>
      </c>
      <c r="J9" s="2" t="s">
        <v>279</v>
      </c>
      <c r="K9" s="2" t="s">
        <v>5</v>
      </c>
      <c r="L9" s="20" t="s">
        <v>0</v>
      </c>
      <c r="M9" s="123">
        <v>77.8</v>
      </c>
      <c r="N9" s="116">
        <v>1.6</v>
      </c>
      <c r="O9" s="31">
        <f t="shared" si="0"/>
        <v>30.390624999999993</v>
      </c>
      <c r="P9" s="2">
        <v>3</v>
      </c>
      <c r="Q9" s="130">
        <v>4.51</v>
      </c>
      <c r="R9" s="27">
        <f t="shared" si="1"/>
        <v>0.88691796008869184</v>
      </c>
      <c r="S9" s="2" t="s">
        <v>0</v>
      </c>
      <c r="T9" s="66" t="s">
        <v>0</v>
      </c>
      <c r="U9" s="23" t="str">
        <f t="shared" si="2"/>
        <v>NO</v>
      </c>
      <c r="V9" s="123">
        <v>19</v>
      </c>
      <c r="W9" s="23" t="str">
        <f t="shared" si="6"/>
        <v>YES</v>
      </c>
      <c r="X9" s="18" t="s">
        <v>0</v>
      </c>
      <c r="Y9" s="23">
        <f t="shared" si="3"/>
        <v>1</v>
      </c>
      <c r="Z9" s="11">
        <v>3</v>
      </c>
      <c r="AA9" s="28">
        <f t="shared" si="4"/>
        <v>4</v>
      </c>
      <c r="AB9" s="2">
        <v>2</v>
      </c>
      <c r="AC9" s="24">
        <f t="shared" si="5"/>
        <v>9</v>
      </c>
      <c r="AD9" s="116">
        <v>15.21</v>
      </c>
      <c r="AE9" s="5" t="s">
        <v>105</v>
      </c>
      <c r="AF9" s="138">
        <v>2196.2860000000001</v>
      </c>
      <c r="AG9" s="137">
        <v>1937.85</v>
      </c>
      <c r="AH9" s="32">
        <v>1849</v>
      </c>
      <c r="AI9" s="138">
        <v>1.0489999999999999</v>
      </c>
      <c r="AJ9" s="138">
        <v>4.5999999999999999E-2</v>
      </c>
      <c r="AK9" s="137">
        <v>12.67</v>
      </c>
      <c r="AL9" s="137">
        <v>1.64</v>
      </c>
      <c r="AM9" s="137">
        <v>32.799999999999997</v>
      </c>
      <c r="AN9" s="137">
        <v>2.23</v>
      </c>
      <c r="AO9" s="137">
        <v>20.98</v>
      </c>
      <c r="AP9" s="137">
        <v>1.34</v>
      </c>
      <c r="AQ9" s="137">
        <v>33.53</v>
      </c>
      <c r="AR9" s="137">
        <v>1.24</v>
      </c>
      <c r="AS9" s="137">
        <v>-62.534999999999997</v>
      </c>
      <c r="AT9" s="137">
        <v>3.6589999999999998</v>
      </c>
      <c r="AU9" s="137">
        <v>19.248000000000001</v>
      </c>
      <c r="AV9" s="137">
        <v>2.9140000000000001</v>
      </c>
      <c r="AW9" s="137">
        <v>57.292999999999999</v>
      </c>
      <c r="AX9" s="137">
        <v>2.4860000000000002</v>
      </c>
      <c r="AY9" s="138">
        <v>1.2030000000000001</v>
      </c>
      <c r="AZ9" s="138">
        <v>6.8000000000000005E-2</v>
      </c>
      <c r="BA9" s="138">
        <v>1.19</v>
      </c>
      <c r="BB9" s="138">
        <v>6.9000000000000006E-2</v>
      </c>
      <c r="BC9" s="138">
        <v>1.258</v>
      </c>
      <c r="BD9" s="138">
        <v>6.7000000000000004E-2</v>
      </c>
      <c r="BE9" s="138">
        <v>1.208</v>
      </c>
      <c r="BF9" s="138">
        <v>6.9000000000000006E-2</v>
      </c>
      <c r="BG9" s="138">
        <v>0.19700000000000001</v>
      </c>
      <c r="BH9" s="138">
        <v>5.7000000000000002E-2</v>
      </c>
    </row>
    <row r="10" spans="1:61" x14ac:dyDescent="0.2">
      <c r="A10" s="21">
        <v>7</v>
      </c>
      <c r="B10" s="21" t="s">
        <v>94</v>
      </c>
      <c r="C10" s="44"/>
      <c r="D10" s="140">
        <v>44440</v>
      </c>
      <c r="E10" s="4" t="s">
        <v>0</v>
      </c>
      <c r="F10" s="109" t="s">
        <v>62</v>
      </c>
      <c r="G10" s="110" t="s">
        <v>6</v>
      </c>
      <c r="H10" s="2" t="s">
        <v>80</v>
      </c>
      <c r="I10" s="74" t="s">
        <v>82</v>
      </c>
      <c r="J10" s="2" t="s">
        <v>279</v>
      </c>
      <c r="K10" s="2" t="s">
        <v>3</v>
      </c>
      <c r="L10" s="20" t="s">
        <v>0</v>
      </c>
      <c r="M10" s="123">
        <v>83</v>
      </c>
      <c r="N10" s="116">
        <v>1.63</v>
      </c>
      <c r="O10" s="31">
        <f t="shared" si="0"/>
        <v>31.239414355075468</v>
      </c>
      <c r="P10" s="2">
        <v>2</v>
      </c>
      <c r="Q10" s="130">
        <v>4.99</v>
      </c>
      <c r="R10" s="27">
        <f t="shared" si="1"/>
        <v>0.80160320641282556</v>
      </c>
      <c r="S10" s="2" t="s">
        <v>0</v>
      </c>
      <c r="T10" s="66" t="s">
        <v>0</v>
      </c>
      <c r="U10" s="23" t="str">
        <f t="shared" si="2"/>
        <v>NO</v>
      </c>
      <c r="V10" s="123">
        <v>16</v>
      </c>
      <c r="W10" s="23" t="str">
        <f t="shared" si="6"/>
        <v>NO</v>
      </c>
      <c r="X10" s="18" t="s">
        <v>0</v>
      </c>
      <c r="Y10" s="23">
        <f t="shared" si="3"/>
        <v>0</v>
      </c>
      <c r="Z10" s="11">
        <v>3</v>
      </c>
      <c r="AA10" s="28">
        <f t="shared" si="4"/>
        <v>3</v>
      </c>
      <c r="AB10" s="2">
        <v>4</v>
      </c>
      <c r="AC10" s="24">
        <f t="shared" si="5"/>
        <v>10</v>
      </c>
      <c r="AD10" s="116">
        <v>13.83</v>
      </c>
      <c r="AE10" s="5" t="s">
        <v>263</v>
      </c>
      <c r="AF10" s="138">
        <v>2198.011</v>
      </c>
      <c r="AG10" s="137">
        <v>1950.364</v>
      </c>
      <c r="AH10" s="32">
        <v>1800</v>
      </c>
      <c r="AI10" s="138">
        <v>1.093</v>
      </c>
      <c r="AJ10" s="138">
        <v>5.0999999999999997E-2</v>
      </c>
      <c r="AK10" s="137">
        <v>13.34</v>
      </c>
      <c r="AL10" s="137">
        <v>1.24</v>
      </c>
      <c r="AM10" s="137">
        <v>43.37</v>
      </c>
      <c r="AN10" s="137">
        <v>1.99</v>
      </c>
      <c r="AO10" s="137">
        <v>12.61</v>
      </c>
      <c r="AP10" s="137">
        <v>0.86</v>
      </c>
      <c r="AQ10" s="137">
        <v>30.63</v>
      </c>
      <c r="AR10" s="137">
        <v>1.45</v>
      </c>
      <c r="AS10" s="137">
        <v>-56.741</v>
      </c>
      <c r="AT10" s="137">
        <v>3.4369999999999998</v>
      </c>
      <c r="AU10" s="137">
        <v>22.035</v>
      </c>
      <c r="AV10" s="137">
        <v>2.3319999999999999</v>
      </c>
      <c r="AW10" s="137">
        <v>54.878999999999998</v>
      </c>
      <c r="AX10" s="137">
        <v>2.7130000000000001</v>
      </c>
      <c r="AY10" s="138">
        <v>1.218</v>
      </c>
      <c r="AZ10" s="138">
        <v>9.5000000000000001E-2</v>
      </c>
      <c r="BA10" s="138">
        <v>1.2350000000000001</v>
      </c>
      <c r="BB10" s="138">
        <v>8.5000000000000006E-2</v>
      </c>
      <c r="BC10" s="138">
        <v>1.3220000000000001</v>
      </c>
      <c r="BD10" s="138">
        <v>8.6999999999999994E-2</v>
      </c>
      <c r="BE10" s="138">
        <v>1.252</v>
      </c>
      <c r="BF10" s="138">
        <v>8.5999999999999993E-2</v>
      </c>
      <c r="BG10" s="138">
        <v>0.2</v>
      </c>
      <c r="BH10" s="138">
        <v>6.2E-2</v>
      </c>
    </row>
    <row r="11" spans="1:61" x14ac:dyDescent="0.2">
      <c r="A11" s="21">
        <v>8</v>
      </c>
      <c r="B11" s="21" t="s">
        <v>112</v>
      </c>
      <c r="C11" s="44"/>
      <c r="D11" s="140">
        <v>44440</v>
      </c>
      <c r="E11" s="4" t="s">
        <v>0</v>
      </c>
      <c r="F11" s="109" t="s">
        <v>62</v>
      </c>
      <c r="G11" s="110" t="s">
        <v>4</v>
      </c>
      <c r="H11" s="2" t="s">
        <v>2</v>
      </c>
      <c r="I11" s="74" t="s">
        <v>82</v>
      </c>
      <c r="J11" s="2" t="s">
        <v>280</v>
      </c>
      <c r="K11" s="2" t="s">
        <v>3</v>
      </c>
      <c r="L11" s="20" t="s">
        <v>0</v>
      </c>
      <c r="M11" s="123">
        <v>53</v>
      </c>
      <c r="N11" s="116">
        <v>1.6</v>
      </c>
      <c r="O11" s="31">
        <f t="shared" si="0"/>
        <v>20.703124999999996</v>
      </c>
      <c r="P11" s="2">
        <v>1</v>
      </c>
      <c r="Q11" s="130">
        <v>3.21</v>
      </c>
      <c r="R11" s="27">
        <f t="shared" si="1"/>
        <v>1.2461059190031152</v>
      </c>
      <c r="S11" s="2" t="s">
        <v>0</v>
      </c>
      <c r="T11" s="66" t="s">
        <v>0</v>
      </c>
      <c r="U11" s="23" t="str">
        <f t="shared" si="2"/>
        <v>NO</v>
      </c>
      <c r="V11" s="123">
        <v>15</v>
      </c>
      <c r="W11" s="23" t="str">
        <f t="shared" si="6"/>
        <v>NO</v>
      </c>
      <c r="X11" s="18" t="s">
        <v>0</v>
      </c>
      <c r="Y11" s="23">
        <f t="shared" si="3"/>
        <v>0</v>
      </c>
      <c r="Z11" s="11">
        <v>4</v>
      </c>
      <c r="AA11" s="28">
        <f t="shared" si="4"/>
        <v>4</v>
      </c>
      <c r="AB11" s="2">
        <v>4</v>
      </c>
      <c r="AC11" s="24">
        <f t="shared" si="5"/>
        <v>12</v>
      </c>
      <c r="AD11" s="116">
        <v>10.48</v>
      </c>
      <c r="AE11" s="5">
        <v>7</v>
      </c>
      <c r="AF11" s="138">
        <v>1877.941</v>
      </c>
      <c r="AG11" s="137">
        <v>1741.5060000000001</v>
      </c>
      <c r="AH11" s="32">
        <v>1677</v>
      </c>
      <c r="AI11" s="138">
        <v>1.0469999999999999</v>
      </c>
      <c r="AJ11" s="138">
        <v>6.7000000000000004E-2</v>
      </c>
      <c r="AK11" s="137">
        <v>16.64</v>
      </c>
      <c r="AL11" s="137">
        <v>2.57</v>
      </c>
      <c r="AM11" s="137">
        <v>32.090000000000003</v>
      </c>
      <c r="AN11" s="137">
        <v>3.79</v>
      </c>
      <c r="AO11" s="137">
        <v>18.8</v>
      </c>
      <c r="AP11" s="137">
        <v>2.19</v>
      </c>
      <c r="AQ11" s="137">
        <v>32.1</v>
      </c>
      <c r="AR11" s="137">
        <v>1.99</v>
      </c>
      <c r="AS11" s="137">
        <v>-60.658000000000001</v>
      </c>
      <c r="AT11" s="137">
        <v>6.4509999999999996</v>
      </c>
      <c r="AU11" s="137">
        <v>21.928000000000001</v>
      </c>
      <c r="AV11" s="137">
        <v>3.9670000000000001</v>
      </c>
      <c r="AW11" s="137">
        <v>57.423999999999999</v>
      </c>
      <c r="AX11" s="137">
        <v>3.6269999999999998</v>
      </c>
      <c r="AY11" s="138">
        <v>1.222</v>
      </c>
      <c r="AZ11" s="138">
        <v>0.105</v>
      </c>
      <c r="BA11" s="138">
        <v>1.131</v>
      </c>
      <c r="BB11" s="138">
        <v>0.11700000000000001</v>
      </c>
      <c r="BC11" s="138">
        <v>1.27</v>
      </c>
      <c r="BD11" s="138">
        <v>8.8999999999999996E-2</v>
      </c>
      <c r="BE11" s="138">
        <v>1.1559999999999999</v>
      </c>
      <c r="BF11" s="138">
        <v>0.115</v>
      </c>
      <c r="BG11" s="138">
        <v>0.39100000000000001</v>
      </c>
      <c r="BH11" s="138">
        <v>0.122</v>
      </c>
    </row>
    <row r="12" spans="1:61" x14ac:dyDescent="0.2">
      <c r="A12" s="21">
        <v>9</v>
      </c>
      <c r="B12" s="21" t="s">
        <v>113</v>
      </c>
      <c r="C12" s="44"/>
      <c r="D12" s="140">
        <v>44440</v>
      </c>
      <c r="E12" s="4" t="s">
        <v>0</v>
      </c>
      <c r="F12" s="109" t="s">
        <v>62</v>
      </c>
      <c r="G12" s="110" t="s">
        <v>1</v>
      </c>
      <c r="H12" s="2" t="s">
        <v>2</v>
      </c>
      <c r="I12" s="74" t="s">
        <v>82</v>
      </c>
      <c r="J12" s="2" t="s">
        <v>280</v>
      </c>
      <c r="K12" s="2" t="s">
        <v>5</v>
      </c>
      <c r="L12" s="20" t="s">
        <v>0</v>
      </c>
      <c r="M12" s="123">
        <v>66</v>
      </c>
      <c r="N12" s="116">
        <v>1.67</v>
      </c>
      <c r="O12" s="31">
        <f t="shared" si="0"/>
        <v>23.665244361576249</v>
      </c>
      <c r="P12" s="2">
        <v>1</v>
      </c>
      <c r="Q12" s="130">
        <v>2.61</v>
      </c>
      <c r="R12" s="27">
        <f t="shared" si="1"/>
        <v>1.5325670498084292</v>
      </c>
      <c r="S12" s="2" t="s">
        <v>0</v>
      </c>
      <c r="T12" s="66" t="s">
        <v>0</v>
      </c>
      <c r="U12" s="23" t="str">
        <f t="shared" si="2"/>
        <v>NO</v>
      </c>
      <c r="V12" s="123">
        <v>20.7</v>
      </c>
      <c r="W12" s="23" t="str">
        <f t="shared" si="6"/>
        <v>NO</v>
      </c>
      <c r="X12" s="18" t="s">
        <v>0</v>
      </c>
      <c r="Y12" s="23">
        <f t="shared" si="3"/>
        <v>0</v>
      </c>
      <c r="Z12" s="11">
        <v>3</v>
      </c>
      <c r="AA12" s="28">
        <f t="shared" si="4"/>
        <v>4</v>
      </c>
      <c r="AB12" s="2">
        <v>4</v>
      </c>
      <c r="AC12" s="24">
        <f t="shared" si="5"/>
        <v>11</v>
      </c>
      <c r="AD12" s="116">
        <v>7.52</v>
      </c>
      <c r="AE12" s="5">
        <v>7</v>
      </c>
      <c r="AF12" s="138">
        <v>1845.6279999999999</v>
      </c>
      <c r="AG12" s="137">
        <v>1598.0319999999999</v>
      </c>
      <c r="AH12" s="32">
        <v>1434</v>
      </c>
      <c r="AI12" s="138">
        <v>1.125</v>
      </c>
      <c r="AJ12" s="138">
        <v>5.7000000000000002E-2</v>
      </c>
      <c r="AK12" s="137">
        <v>14.83</v>
      </c>
      <c r="AL12" s="137">
        <v>1.99</v>
      </c>
      <c r="AM12" s="137">
        <v>33.22</v>
      </c>
      <c r="AN12" s="137">
        <v>2.78</v>
      </c>
      <c r="AO12" s="137">
        <v>19.07</v>
      </c>
      <c r="AP12" s="137">
        <v>1.37</v>
      </c>
      <c r="AQ12" s="137">
        <v>32.81</v>
      </c>
      <c r="AR12" s="137">
        <v>1.6</v>
      </c>
      <c r="AS12" s="137">
        <v>-71.221000000000004</v>
      </c>
      <c r="AT12" s="137">
        <v>5.9210000000000003</v>
      </c>
      <c r="AU12" s="137">
        <v>29.963000000000001</v>
      </c>
      <c r="AV12" s="137">
        <v>3.57</v>
      </c>
      <c r="AW12" s="137">
        <v>53.401000000000003</v>
      </c>
      <c r="AX12" s="137">
        <v>2.9929999999999999</v>
      </c>
      <c r="AY12" s="138">
        <v>1.266</v>
      </c>
      <c r="AZ12" s="138">
        <v>0.104</v>
      </c>
      <c r="BA12" s="138">
        <v>1.3009999999999999</v>
      </c>
      <c r="BB12" s="138">
        <v>0.122</v>
      </c>
      <c r="BC12" s="138">
        <v>1.4179999999999999</v>
      </c>
      <c r="BD12" s="138">
        <v>9.6000000000000002E-2</v>
      </c>
      <c r="BE12" s="138">
        <v>1.3280000000000001</v>
      </c>
      <c r="BF12" s="138">
        <v>0.11899999999999999</v>
      </c>
      <c r="BG12" s="138">
        <v>0.20699999999999999</v>
      </c>
      <c r="BH12" s="138">
        <v>5.8000000000000003E-2</v>
      </c>
    </row>
    <row r="13" spans="1:61" x14ac:dyDescent="0.2">
      <c r="A13" s="21">
        <v>10</v>
      </c>
      <c r="B13" s="21" t="s">
        <v>114</v>
      </c>
      <c r="C13" s="44"/>
      <c r="D13" s="140">
        <v>44440</v>
      </c>
      <c r="E13" s="4" t="s">
        <v>0</v>
      </c>
      <c r="F13" s="109" t="s">
        <v>62</v>
      </c>
      <c r="G13" s="8" t="s">
        <v>6</v>
      </c>
      <c r="H13" s="2" t="s">
        <v>2</v>
      </c>
      <c r="I13" s="74" t="s">
        <v>82</v>
      </c>
      <c r="J13" s="17" t="s">
        <v>279</v>
      </c>
      <c r="K13" s="17" t="s">
        <v>3</v>
      </c>
      <c r="L13" s="20" t="s">
        <v>0</v>
      </c>
      <c r="M13" s="124">
        <v>57.5</v>
      </c>
      <c r="N13" s="117">
        <v>1.47</v>
      </c>
      <c r="O13" s="31">
        <f t="shared" si="0"/>
        <v>26.609283169049935</v>
      </c>
      <c r="P13" s="2">
        <v>1</v>
      </c>
      <c r="Q13" s="131">
        <v>4.4400000000000004</v>
      </c>
      <c r="R13" s="27">
        <f t="shared" si="1"/>
        <v>0.9009009009009008</v>
      </c>
      <c r="S13" s="2" t="s">
        <v>0</v>
      </c>
      <c r="T13" s="66" t="s">
        <v>0</v>
      </c>
      <c r="U13" s="23" t="str">
        <f t="shared" si="2"/>
        <v>NO</v>
      </c>
      <c r="V13" s="124">
        <v>17.399999999999999</v>
      </c>
      <c r="W13" s="23" t="str">
        <f t="shared" si="6"/>
        <v>NO</v>
      </c>
      <c r="X13" s="18" t="s">
        <v>0</v>
      </c>
      <c r="Y13" s="23">
        <f t="shared" si="3"/>
        <v>0</v>
      </c>
      <c r="Z13" s="13">
        <v>3</v>
      </c>
      <c r="AA13" s="28">
        <f t="shared" si="4"/>
        <v>4</v>
      </c>
      <c r="AB13" s="17">
        <v>4</v>
      </c>
      <c r="AC13" s="24">
        <f t="shared" si="5"/>
        <v>11</v>
      </c>
      <c r="AD13" s="117">
        <v>13.48</v>
      </c>
      <c r="AE13" s="7">
        <v>10</v>
      </c>
      <c r="AF13" s="138">
        <v>1536.675</v>
      </c>
      <c r="AG13" s="137">
        <v>1905.3340000000001</v>
      </c>
      <c r="AH13" s="32">
        <v>1657</v>
      </c>
      <c r="AI13" s="138">
        <v>1.175</v>
      </c>
      <c r="AJ13" s="138">
        <v>9.9000000000000005E-2</v>
      </c>
      <c r="AK13" s="137">
        <v>12.23</v>
      </c>
      <c r="AL13" s="137">
        <v>1.78</v>
      </c>
      <c r="AM13" s="137">
        <v>42.68</v>
      </c>
      <c r="AN13" s="137">
        <v>3.96</v>
      </c>
      <c r="AO13" s="137">
        <v>15.39</v>
      </c>
      <c r="AP13" s="137">
        <v>1.83</v>
      </c>
      <c r="AQ13" s="137">
        <v>29.52</v>
      </c>
      <c r="AR13" s="137">
        <v>2.29</v>
      </c>
      <c r="AS13" s="137">
        <v>-52.74</v>
      </c>
      <c r="AT13" s="137">
        <v>6.1539999999999999</v>
      </c>
      <c r="AU13" s="137">
        <v>15.105</v>
      </c>
      <c r="AV13" s="137">
        <v>2.8889999999999998</v>
      </c>
      <c r="AW13" s="137">
        <v>50.991</v>
      </c>
      <c r="AX13" s="137">
        <v>4.6719999999999997</v>
      </c>
      <c r="AY13" s="138">
        <v>0.89100000000000001</v>
      </c>
      <c r="AZ13" s="138">
        <v>0.122</v>
      </c>
      <c r="BA13" s="138">
        <v>0.96</v>
      </c>
      <c r="BB13" s="138">
        <v>0.111</v>
      </c>
      <c r="BC13" s="138">
        <v>1.0289999999999999</v>
      </c>
      <c r="BD13" s="138">
        <v>0.115</v>
      </c>
      <c r="BE13" s="138">
        <v>0.97799999999999998</v>
      </c>
      <c r="BF13" s="138">
        <v>0.112</v>
      </c>
      <c r="BG13" s="138">
        <v>0.21</v>
      </c>
      <c r="BH13" s="138">
        <v>5.6000000000000001E-2</v>
      </c>
    </row>
    <row r="14" spans="1:61" x14ac:dyDescent="0.2">
      <c r="A14" s="21">
        <v>11</v>
      </c>
      <c r="B14" s="21" t="s">
        <v>115</v>
      </c>
      <c r="C14" s="44"/>
      <c r="D14" s="140">
        <v>44440</v>
      </c>
      <c r="E14" s="4" t="s">
        <v>0</v>
      </c>
      <c r="F14" s="109" t="s">
        <v>62</v>
      </c>
      <c r="G14" s="8" t="s">
        <v>1</v>
      </c>
      <c r="H14" s="2" t="s">
        <v>2</v>
      </c>
      <c r="I14" s="74" t="s">
        <v>83</v>
      </c>
      <c r="J14" s="17" t="s">
        <v>279</v>
      </c>
      <c r="K14" s="17" t="s">
        <v>3</v>
      </c>
      <c r="L14" s="20" t="s">
        <v>0</v>
      </c>
      <c r="M14" s="124">
        <v>75</v>
      </c>
      <c r="N14" s="117">
        <v>1.63</v>
      </c>
      <c r="O14" s="31">
        <f t="shared" si="0"/>
        <v>28.228386465429637</v>
      </c>
      <c r="P14" s="2">
        <v>1</v>
      </c>
      <c r="Q14" s="131">
        <v>3.79</v>
      </c>
      <c r="R14" s="27">
        <f t="shared" si="1"/>
        <v>1.0554089709762533</v>
      </c>
      <c r="S14" s="2" t="s">
        <v>0</v>
      </c>
      <c r="T14" s="66" t="s">
        <v>0</v>
      </c>
      <c r="U14" s="23" t="str">
        <f t="shared" si="2"/>
        <v>NO</v>
      </c>
      <c r="V14" s="124">
        <v>23.1</v>
      </c>
      <c r="W14" s="23" t="str">
        <f t="shared" si="6"/>
        <v>NO</v>
      </c>
      <c r="X14" s="18" t="s">
        <v>0</v>
      </c>
      <c r="Y14" s="23">
        <f t="shared" si="3"/>
        <v>0</v>
      </c>
      <c r="Z14" s="13">
        <v>4</v>
      </c>
      <c r="AA14" s="28">
        <f t="shared" si="4"/>
        <v>4</v>
      </c>
      <c r="AB14" s="17">
        <v>4</v>
      </c>
      <c r="AC14" s="24">
        <f t="shared" si="5"/>
        <v>12</v>
      </c>
      <c r="AD14" s="117">
        <v>11.47</v>
      </c>
      <c r="AE14" s="7">
        <v>7</v>
      </c>
      <c r="AF14" s="138">
        <v>1356.1790000000001</v>
      </c>
      <c r="AG14" s="137">
        <v>1760.4970000000001</v>
      </c>
      <c r="AH14" s="32">
        <v>1383</v>
      </c>
      <c r="AI14" s="138">
        <v>1.286</v>
      </c>
      <c r="AJ14" s="138">
        <v>0.104</v>
      </c>
      <c r="AK14" s="137">
        <v>12.66</v>
      </c>
      <c r="AL14" s="137">
        <v>2.2000000000000002</v>
      </c>
      <c r="AM14" s="137">
        <v>39.4</v>
      </c>
      <c r="AN14" s="137">
        <v>5.37</v>
      </c>
      <c r="AO14" s="137">
        <v>20.12</v>
      </c>
      <c r="AP14" s="137">
        <v>2.09</v>
      </c>
      <c r="AQ14" s="137">
        <v>27.97</v>
      </c>
      <c r="AR14" s="137">
        <v>2.66</v>
      </c>
      <c r="AS14" s="137">
        <v>-62.808999999999997</v>
      </c>
      <c r="AT14" s="137">
        <v>7.641</v>
      </c>
      <c r="AU14" s="137">
        <v>17.823</v>
      </c>
      <c r="AV14" s="137">
        <v>3.33</v>
      </c>
      <c r="AW14" s="137">
        <v>46.86</v>
      </c>
      <c r="AX14" s="137">
        <v>3.657</v>
      </c>
      <c r="AY14" s="138">
        <v>0.88800000000000001</v>
      </c>
      <c r="AZ14" s="138">
        <v>0.14599999999999999</v>
      </c>
      <c r="BA14" s="138">
        <v>1.0609999999999999</v>
      </c>
      <c r="BB14" s="138">
        <v>0.14199999999999999</v>
      </c>
      <c r="BC14" s="138">
        <v>1.1240000000000001</v>
      </c>
      <c r="BD14" s="138">
        <v>0.15</v>
      </c>
      <c r="BE14" s="138">
        <v>1.087</v>
      </c>
      <c r="BF14" s="138">
        <v>0.14699999999999999</v>
      </c>
      <c r="BG14" s="138">
        <v>9.0999999999999998E-2</v>
      </c>
      <c r="BH14" s="138">
        <v>2.9000000000000001E-2</v>
      </c>
    </row>
    <row r="15" spans="1:61" x14ac:dyDescent="0.2">
      <c r="A15" s="21">
        <v>12</v>
      </c>
      <c r="B15" s="21" t="s">
        <v>116</v>
      </c>
      <c r="C15" s="44"/>
      <c r="D15" s="140">
        <v>44440</v>
      </c>
      <c r="E15" s="4" t="s">
        <v>0</v>
      </c>
      <c r="F15" s="109" t="s">
        <v>62</v>
      </c>
      <c r="G15" s="8" t="s">
        <v>6</v>
      </c>
      <c r="H15" s="17" t="s">
        <v>2</v>
      </c>
      <c r="I15" s="74" t="s">
        <v>82</v>
      </c>
      <c r="J15" s="17" t="s">
        <v>279</v>
      </c>
      <c r="K15" s="17" t="s">
        <v>3</v>
      </c>
      <c r="L15" s="20" t="s">
        <v>0</v>
      </c>
      <c r="M15" s="124">
        <v>64</v>
      </c>
      <c r="N15" s="117">
        <v>1.67</v>
      </c>
      <c r="O15" s="31">
        <f t="shared" si="0"/>
        <v>22.948115744558788</v>
      </c>
      <c r="P15" s="2">
        <v>1</v>
      </c>
      <c r="Q15" s="131">
        <v>3.03</v>
      </c>
      <c r="R15" s="27">
        <f t="shared" si="1"/>
        <v>1.3201320132013201</v>
      </c>
      <c r="S15" s="2" t="s">
        <v>0</v>
      </c>
      <c r="T15" s="66" t="s">
        <v>0</v>
      </c>
      <c r="U15" s="23" t="str">
        <f t="shared" si="2"/>
        <v>NO</v>
      </c>
      <c r="V15" s="124">
        <v>18.899999999999999</v>
      </c>
      <c r="W15" s="23" t="str">
        <f t="shared" si="6"/>
        <v>NO</v>
      </c>
      <c r="X15" s="18" t="s">
        <v>0</v>
      </c>
      <c r="Y15" s="23">
        <f t="shared" si="3"/>
        <v>0</v>
      </c>
      <c r="Z15" s="13">
        <v>4</v>
      </c>
      <c r="AA15" s="28">
        <f t="shared" si="4"/>
        <v>4</v>
      </c>
      <c r="AB15" s="17">
        <v>3</v>
      </c>
      <c r="AC15" s="24">
        <f t="shared" si="5"/>
        <v>11</v>
      </c>
      <c r="AD15" s="117">
        <v>9.3699999999999992</v>
      </c>
      <c r="AE15" s="7">
        <v>7</v>
      </c>
      <c r="AF15" s="138">
        <v>1655.56</v>
      </c>
      <c r="AG15" s="137">
        <v>1535.7909999999999</v>
      </c>
      <c r="AH15" s="32">
        <v>1466</v>
      </c>
      <c r="AI15" s="138">
        <v>1.0620000000000001</v>
      </c>
      <c r="AJ15" s="138">
        <v>6.3E-2</v>
      </c>
      <c r="AK15" s="137">
        <v>12.01</v>
      </c>
      <c r="AL15" s="137">
        <v>2.09</v>
      </c>
      <c r="AM15" s="137">
        <v>36.14</v>
      </c>
      <c r="AN15" s="137">
        <v>3.87</v>
      </c>
      <c r="AO15" s="137">
        <v>19.55</v>
      </c>
      <c r="AP15" s="137">
        <v>2.2000000000000002</v>
      </c>
      <c r="AQ15" s="137">
        <v>32.01</v>
      </c>
      <c r="AR15" s="137">
        <v>1.99</v>
      </c>
      <c r="AS15" s="137">
        <v>-63.7</v>
      </c>
      <c r="AT15" s="137">
        <v>6.1040000000000001</v>
      </c>
      <c r="AU15" s="137">
        <v>23.344999999999999</v>
      </c>
      <c r="AV15" s="137">
        <v>4.6859999999999999</v>
      </c>
      <c r="AW15" s="137">
        <v>56.584000000000003</v>
      </c>
      <c r="AX15" s="137">
        <v>3.5350000000000001</v>
      </c>
      <c r="AY15" s="138">
        <v>1.169</v>
      </c>
      <c r="AZ15" s="138">
        <v>0.112</v>
      </c>
      <c r="BA15" s="138">
        <v>1.149</v>
      </c>
      <c r="BB15" s="138">
        <v>9.0999999999999998E-2</v>
      </c>
      <c r="BC15" s="138">
        <v>1.2350000000000001</v>
      </c>
      <c r="BD15" s="138">
        <v>9.1999999999999998E-2</v>
      </c>
      <c r="BE15" s="138">
        <v>1.163</v>
      </c>
      <c r="BF15" s="138">
        <v>0.09</v>
      </c>
      <c r="BG15" s="138">
        <v>0.28899999999999998</v>
      </c>
      <c r="BH15" s="138">
        <v>7.2999999999999995E-2</v>
      </c>
    </row>
    <row r="16" spans="1:61" x14ac:dyDescent="0.2">
      <c r="A16" s="21">
        <v>13</v>
      </c>
      <c r="B16" s="21" t="s">
        <v>117</v>
      </c>
      <c r="C16" s="44"/>
      <c r="D16" s="140">
        <v>44440</v>
      </c>
      <c r="E16" s="4" t="s">
        <v>0</v>
      </c>
      <c r="F16" s="109" t="s">
        <v>62</v>
      </c>
      <c r="G16" s="8" t="s">
        <v>1</v>
      </c>
      <c r="H16" s="1" t="s">
        <v>80</v>
      </c>
      <c r="I16" s="75" t="s">
        <v>82</v>
      </c>
      <c r="J16" s="1" t="s">
        <v>281</v>
      </c>
      <c r="K16" s="1" t="s">
        <v>3</v>
      </c>
      <c r="L16" s="20" t="s">
        <v>0</v>
      </c>
      <c r="M16" s="125">
        <v>54.7</v>
      </c>
      <c r="N16" s="118">
        <v>1.42</v>
      </c>
      <c r="O16" s="31">
        <f t="shared" si="0"/>
        <v>27.127554056734777</v>
      </c>
      <c r="P16" s="2">
        <v>1</v>
      </c>
      <c r="Q16" s="132">
        <v>3.6</v>
      </c>
      <c r="R16" s="27">
        <f t="shared" si="1"/>
        <v>1.1111111111111112</v>
      </c>
      <c r="S16" s="2" t="s">
        <v>0</v>
      </c>
      <c r="T16" s="66" t="s">
        <v>0</v>
      </c>
      <c r="U16" s="23" t="str">
        <f t="shared" si="2"/>
        <v>NO</v>
      </c>
      <c r="V16" s="125">
        <v>12.3</v>
      </c>
      <c r="W16" s="23" t="str">
        <f t="shared" si="6"/>
        <v>NO</v>
      </c>
      <c r="X16" s="18" t="s">
        <v>0</v>
      </c>
      <c r="Y16" s="23">
        <f t="shared" si="3"/>
        <v>0</v>
      </c>
      <c r="Z16" s="11">
        <v>2</v>
      </c>
      <c r="AA16" s="28">
        <f t="shared" si="4"/>
        <v>4</v>
      </c>
      <c r="AB16" s="1">
        <v>4</v>
      </c>
      <c r="AC16" s="24">
        <f t="shared" si="5"/>
        <v>10</v>
      </c>
      <c r="AD16" s="118">
        <v>10.34</v>
      </c>
      <c r="AE16" s="6">
        <v>7</v>
      </c>
      <c r="AF16" s="138">
        <v>1395.6510000000001</v>
      </c>
      <c r="AG16" s="137">
        <v>1406.8340000000001</v>
      </c>
      <c r="AH16" s="32">
        <v>1434</v>
      </c>
      <c r="AI16" s="138">
        <v>0.996</v>
      </c>
      <c r="AJ16" s="138">
        <v>5.3999999999999999E-2</v>
      </c>
      <c r="AK16" s="137">
        <v>13.8</v>
      </c>
      <c r="AL16" s="137">
        <v>1.75</v>
      </c>
      <c r="AM16" s="137">
        <v>34.81</v>
      </c>
      <c r="AN16" s="137">
        <v>2.7</v>
      </c>
      <c r="AO16" s="137">
        <v>19.010000000000002</v>
      </c>
      <c r="AP16" s="137">
        <v>1.68</v>
      </c>
      <c r="AQ16" s="137">
        <v>32.24</v>
      </c>
      <c r="AR16" s="137">
        <v>1.62</v>
      </c>
      <c r="AS16" s="137">
        <v>-64.381</v>
      </c>
      <c r="AT16" s="137">
        <v>5.5570000000000004</v>
      </c>
      <c r="AU16" s="137">
        <v>21.673999999999999</v>
      </c>
      <c r="AV16" s="137">
        <v>3.2679999999999998</v>
      </c>
      <c r="AW16" s="137">
        <v>60.34</v>
      </c>
      <c r="AX16" s="137">
        <v>3.3439999999999999</v>
      </c>
      <c r="AY16" s="138">
        <v>1.1970000000000001</v>
      </c>
      <c r="AZ16" s="138">
        <v>0.105</v>
      </c>
      <c r="BA16" s="138">
        <v>0.98499999999999999</v>
      </c>
      <c r="BB16" s="138">
        <v>0.155</v>
      </c>
      <c r="BC16" s="138">
        <v>1.1830000000000001</v>
      </c>
      <c r="BD16" s="138">
        <v>0.09</v>
      </c>
      <c r="BE16" s="138">
        <v>1.0089999999999999</v>
      </c>
      <c r="BF16" s="138">
        <v>0.154</v>
      </c>
      <c r="BG16" s="138">
        <v>0.623</v>
      </c>
      <c r="BH16" s="138">
        <v>0.14899999999999999</v>
      </c>
    </row>
    <row r="17" spans="1:60" x14ac:dyDescent="0.2">
      <c r="A17" s="21">
        <v>14</v>
      </c>
      <c r="B17" s="21" t="s">
        <v>118</v>
      </c>
      <c r="C17" s="44"/>
      <c r="D17" s="140">
        <v>44440</v>
      </c>
      <c r="E17" s="4" t="s">
        <v>0</v>
      </c>
      <c r="F17" s="109" t="s">
        <v>62</v>
      </c>
      <c r="G17" s="111">
        <v>877</v>
      </c>
      <c r="H17" s="1" t="s">
        <v>80</v>
      </c>
      <c r="I17" s="75" t="s">
        <v>82</v>
      </c>
      <c r="J17" s="1" t="s">
        <v>280</v>
      </c>
      <c r="K17" s="1" t="s">
        <v>3</v>
      </c>
      <c r="L17" s="20" t="s">
        <v>0</v>
      </c>
      <c r="M17" s="125">
        <v>79.2</v>
      </c>
      <c r="N17" s="118">
        <v>1.53</v>
      </c>
      <c r="O17" s="31">
        <f t="shared" si="0"/>
        <v>33.833141099577084</v>
      </c>
      <c r="P17" s="1">
        <v>2</v>
      </c>
      <c r="Q17" s="132">
        <v>6.62</v>
      </c>
      <c r="R17" s="27">
        <f t="shared" si="1"/>
        <v>0.60422960725075525</v>
      </c>
      <c r="S17" s="2" t="s">
        <v>0</v>
      </c>
      <c r="T17" s="66" t="s">
        <v>0</v>
      </c>
      <c r="U17" s="23" t="str">
        <f t="shared" si="2"/>
        <v>NO</v>
      </c>
      <c r="V17" s="125">
        <v>12</v>
      </c>
      <c r="W17" s="23" t="str">
        <f t="shared" si="6"/>
        <v>NO</v>
      </c>
      <c r="X17" s="67" t="s">
        <v>84</v>
      </c>
      <c r="Y17" s="23">
        <f t="shared" si="3"/>
        <v>1</v>
      </c>
      <c r="Z17" s="11">
        <v>3</v>
      </c>
      <c r="AA17" s="28">
        <f t="shared" si="4"/>
        <v>2</v>
      </c>
      <c r="AB17" s="1">
        <v>2</v>
      </c>
      <c r="AC17" s="24">
        <f t="shared" si="5"/>
        <v>7</v>
      </c>
      <c r="AD17" s="118">
        <v>18.579999999999998</v>
      </c>
      <c r="AE17" s="6">
        <v>7</v>
      </c>
      <c r="AF17" s="138">
        <v>596.95100000000002</v>
      </c>
      <c r="AG17" s="137">
        <v>811.70600000000002</v>
      </c>
      <c r="AH17" s="32">
        <v>707</v>
      </c>
      <c r="AI17" s="138">
        <v>1.173</v>
      </c>
      <c r="AJ17" s="138">
        <v>6.3E-2</v>
      </c>
      <c r="AK17" s="137">
        <v>10.45</v>
      </c>
      <c r="AL17" s="137">
        <v>1.65</v>
      </c>
      <c r="AM17" s="137">
        <v>45.43</v>
      </c>
      <c r="AN17" s="137">
        <v>3.81</v>
      </c>
      <c r="AO17" s="137">
        <v>18.100000000000001</v>
      </c>
      <c r="AP17" s="137">
        <v>1.36</v>
      </c>
      <c r="AQ17" s="137">
        <v>26.22</v>
      </c>
      <c r="AR17" s="137">
        <v>1.86</v>
      </c>
      <c r="AS17" s="137">
        <v>-51.588999999999999</v>
      </c>
      <c r="AT17" s="137">
        <v>5.423</v>
      </c>
      <c r="AU17" s="137">
        <v>10.587999999999999</v>
      </c>
      <c r="AV17" s="137">
        <v>1.621</v>
      </c>
      <c r="AW17" s="137">
        <v>51.140999999999998</v>
      </c>
      <c r="AX17" s="137">
        <v>3.2090000000000001</v>
      </c>
      <c r="AY17" s="138">
        <v>0.79200000000000004</v>
      </c>
      <c r="AZ17" s="138">
        <v>8.8999999999999996E-2</v>
      </c>
      <c r="BA17" s="138">
        <v>0.875</v>
      </c>
      <c r="BB17" s="138">
        <v>0.09</v>
      </c>
      <c r="BC17" s="138">
        <v>0.92100000000000004</v>
      </c>
      <c r="BD17" s="138">
        <v>9.5000000000000001E-2</v>
      </c>
      <c r="BE17" s="138">
        <v>0.89900000000000002</v>
      </c>
      <c r="BF17" s="138">
        <v>9.2999999999999999E-2</v>
      </c>
      <c r="BG17" s="138">
        <v>5.8999999999999997E-2</v>
      </c>
      <c r="BH17" s="138">
        <v>1.6E-2</v>
      </c>
    </row>
    <row r="18" spans="1:60" x14ac:dyDescent="0.2">
      <c r="A18" s="21">
        <v>15</v>
      </c>
      <c r="B18" s="21" t="s">
        <v>119</v>
      </c>
      <c r="C18" s="44"/>
      <c r="D18" s="140">
        <v>44440</v>
      </c>
      <c r="E18" s="4" t="s">
        <v>0</v>
      </c>
      <c r="F18" s="109" t="s">
        <v>62</v>
      </c>
      <c r="G18" s="8" t="s">
        <v>6</v>
      </c>
      <c r="H18" s="17" t="s">
        <v>2</v>
      </c>
      <c r="I18" s="74" t="s">
        <v>83</v>
      </c>
      <c r="J18" s="17" t="s">
        <v>279</v>
      </c>
      <c r="K18" s="17" t="s">
        <v>5</v>
      </c>
      <c r="L18" s="20" t="s">
        <v>0</v>
      </c>
      <c r="M18" s="124">
        <v>86</v>
      </c>
      <c r="N18" s="117">
        <v>1.65</v>
      </c>
      <c r="O18" s="31">
        <f t="shared" si="0"/>
        <v>31.588613406795229</v>
      </c>
      <c r="P18" s="17">
        <v>1</v>
      </c>
      <c r="Q18" s="131">
        <v>3.02</v>
      </c>
      <c r="R18" s="27">
        <f t="shared" si="1"/>
        <v>1.3245033112582782</v>
      </c>
      <c r="S18" s="2" t="s">
        <v>0</v>
      </c>
      <c r="T18" s="66" t="s">
        <v>0</v>
      </c>
      <c r="U18" s="23" t="str">
        <f t="shared" si="2"/>
        <v>NO</v>
      </c>
      <c r="V18" s="124">
        <v>28</v>
      </c>
      <c r="W18" s="23" t="str">
        <f t="shared" si="6"/>
        <v>NO</v>
      </c>
      <c r="X18" s="18" t="s">
        <v>0</v>
      </c>
      <c r="Y18" s="23">
        <f t="shared" si="3"/>
        <v>0</v>
      </c>
      <c r="Z18" s="13">
        <v>4</v>
      </c>
      <c r="AA18" s="28">
        <f t="shared" si="4"/>
        <v>4</v>
      </c>
      <c r="AB18" s="17">
        <v>4</v>
      </c>
      <c r="AC18" s="24">
        <f t="shared" si="5"/>
        <v>12</v>
      </c>
      <c r="AD18" s="117">
        <v>5.79</v>
      </c>
      <c r="AE18" s="5">
        <v>7</v>
      </c>
      <c r="AF18" s="138">
        <v>1782.25</v>
      </c>
      <c r="AG18" s="137">
        <v>1488.37</v>
      </c>
      <c r="AH18" s="32">
        <v>1351</v>
      </c>
      <c r="AI18" s="138">
        <v>1.117</v>
      </c>
      <c r="AJ18" s="138">
        <v>3.5999999999999997E-2</v>
      </c>
      <c r="AK18" s="137">
        <v>12.49</v>
      </c>
      <c r="AL18" s="137">
        <v>1.1599999999999999</v>
      </c>
      <c r="AM18" s="137">
        <v>38.4</v>
      </c>
      <c r="AN18" s="137">
        <v>1.64</v>
      </c>
      <c r="AO18" s="137">
        <v>19.29</v>
      </c>
      <c r="AP18" s="137">
        <v>0.81</v>
      </c>
      <c r="AQ18" s="137">
        <v>29.76</v>
      </c>
      <c r="AR18" s="137">
        <v>1.25</v>
      </c>
      <c r="AS18" s="137">
        <v>-81.650000000000006</v>
      </c>
      <c r="AT18" s="137">
        <v>3.3610000000000002</v>
      </c>
      <c r="AU18" s="137">
        <v>21.510999999999999</v>
      </c>
      <c r="AV18" s="137">
        <v>2.661</v>
      </c>
      <c r="AW18" s="137">
        <v>53.719000000000001</v>
      </c>
      <c r="AX18" s="137">
        <v>2.0710000000000002</v>
      </c>
      <c r="AY18" s="138">
        <v>1.278</v>
      </c>
      <c r="AZ18" s="138">
        <v>7.2999999999999995E-2</v>
      </c>
      <c r="BA18" s="138">
        <v>1.331</v>
      </c>
      <c r="BB18" s="138">
        <v>7.5999999999999998E-2</v>
      </c>
      <c r="BC18" s="138">
        <v>1.419</v>
      </c>
      <c r="BD18" s="138">
        <v>8.2000000000000003E-2</v>
      </c>
      <c r="BE18" s="138">
        <v>1.3580000000000001</v>
      </c>
      <c r="BF18" s="138">
        <v>7.9000000000000001E-2</v>
      </c>
      <c r="BG18" s="138">
        <v>9.1999999999999998E-2</v>
      </c>
      <c r="BH18" s="138">
        <v>1.6E-2</v>
      </c>
    </row>
    <row r="19" spans="1:60" x14ac:dyDescent="0.2">
      <c r="A19" s="21">
        <v>16</v>
      </c>
      <c r="B19" s="21" t="s">
        <v>120</v>
      </c>
      <c r="C19" s="44"/>
      <c r="D19" s="140">
        <v>44440</v>
      </c>
      <c r="E19" s="4" t="s">
        <v>0</v>
      </c>
      <c r="F19" s="109" t="s">
        <v>62</v>
      </c>
      <c r="G19" s="8" t="s">
        <v>1</v>
      </c>
      <c r="H19" s="17" t="s">
        <v>2</v>
      </c>
      <c r="I19" s="74" t="s">
        <v>83</v>
      </c>
      <c r="J19" s="17" t="s">
        <v>279</v>
      </c>
      <c r="K19" s="17" t="s">
        <v>3</v>
      </c>
      <c r="L19" s="20" t="s">
        <v>0</v>
      </c>
      <c r="M19" s="124">
        <v>70</v>
      </c>
      <c r="N19" s="117">
        <v>1.61</v>
      </c>
      <c r="O19" s="31">
        <f t="shared" si="0"/>
        <v>27.005130974885226</v>
      </c>
      <c r="P19" s="17">
        <v>1</v>
      </c>
      <c r="Q19" s="131">
        <v>4.92</v>
      </c>
      <c r="R19" s="27">
        <f t="shared" si="1"/>
        <v>0.81300813008130079</v>
      </c>
      <c r="S19" s="2" t="s">
        <v>0</v>
      </c>
      <c r="T19" s="18" t="s">
        <v>84</v>
      </c>
      <c r="U19" s="23" t="str">
        <f t="shared" si="2"/>
        <v>NO</v>
      </c>
      <c r="V19" s="124">
        <v>21.4</v>
      </c>
      <c r="W19" s="23" t="str">
        <f t="shared" si="6"/>
        <v>NO</v>
      </c>
      <c r="X19" s="18" t="s">
        <v>84</v>
      </c>
      <c r="Y19" s="23">
        <f t="shared" si="3"/>
        <v>2</v>
      </c>
      <c r="Z19" s="13">
        <v>4</v>
      </c>
      <c r="AA19" s="28">
        <f t="shared" si="4"/>
        <v>3</v>
      </c>
      <c r="AB19" s="17">
        <v>2</v>
      </c>
      <c r="AC19" s="24">
        <f t="shared" si="5"/>
        <v>9</v>
      </c>
      <c r="AD19" s="117">
        <v>11.69</v>
      </c>
      <c r="AE19" s="7">
        <v>8</v>
      </c>
      <c r="AF19" s="138">
        <v>1887.751</v>
      </c>
      <c r="AG19" s="137">
        <v>1657.268</v>
      </c>
      <c r="AH19" s="32">
        <v>1557</v>
      </c>
      <c r="AI19" s="138">
        <v>1.071</v>
      </c>
      <c r="AJ19" s="138">
        <v>4.2999999999999997E-2</v>
      </c>
      <c r="AK19" s="137">
        <v>11.44</v>
      </c>
      <c r="AL19" s="137">
        <v>1.04</v>
      </c>
      <c r="AM19" s="137">
        <v>35.76</v>
      </c>
      <c r="AN19" s="137">
        <v>1.63</v>
      </c>
      <c r="AO19" s="137">
        <v>21.25</v>
      </c>
      <c r="AP19" s="137">
        <v>0.93</v>
      </c>
      <c r="AQ19" s="137">
        <v>31.52</v>
      </c>
      <c r="AR19" s="137">
        <v>1.17</v>
      </c>
      <c r="AS19" s="137">
        <v>-61.125</v>
      </c>
      <c r="AT19" s="137">
        <v>2.7410000000000001</v>
      </c>
      <c r="AU19" s="137">
        <v>16.103000000000002</v>
      </c>
      <c r="AV19" s="137">
        <v>1.724</v>
      </c>
      <c r="AW19" s="137">
        <v>56.003999999999998</v>
      </c>
      <c r="AX19" s="137">
        <v>2.4809999999999999</v>
      </c>
      <c r="AY19" s="138">
        <v>1.1910000000000001</v>
      </c>
      <c r="AZ19" s="138">
        <v>7.6999999999999999E-2</v>
      </c>
      <c r="BA19" s="138">
        <v>1.22</v>
      </c>
      <c r="BB19" s="138">
        <v>6.2E-2</v>
      </c>
      <c r="BC19" s="138">
        <v>1.2709999999999999</v>
      </c>
      <c r="BD19" s="138">
        <v>6.2E-2</v>
      </c>
      <c r="BE19" s="138">
        <v>1.2330000000000001</v>
      </c>
      <c r="BF19" s="138">
        <v>6.0999999999999999E-2</v>
      </c>
      <c r="BG19" s="138">
        <v>0.12</v>
      </c>
      <c r="BH19" s="138">
        <v>3.5000000000000003E-2</v>
      </c>
    </row>
    <row r="20" spans="1:60" x14ac:dyDescent="0.2">
      <c r="A20" s="21">
        <v>17</v>
      </c>
      <c r="B20" s="21" t="s">
        <v>121</v>
      </c>
      <c r="C20" s="44"/>
      <c r="D20" s="140">
        <v>44440</v>
      </c>
      <c r="E20" s="4" t="s">
        <v>0</v>
      </c>
      <c r="F20" s="109" t="s">
        <v>62</v>
      </c>
      <c r="G20" s="8">
        <v>877</v>
      </c>
      <c r="H20" s="17" t="s">
        <v>2</v>
      </c>
      <c r="I20" s="74" t="s">
        <v>83</v>
      </c>
      <c r="J20" s="17" t="s">
        <v>280</v>
      </c>
      <c r="K20" s="17" t="s">
        <v>3</v>
      </c>
      <c r="L20" s="20" t="s">
        <v>0</v>
      </c>
      <c r="M20" s="124">
        <v>51.5</v>
      </c>
      <c r="N20" s="117">
        <v>1.58</v>
      </c>
      <c r="O20" s="31">
        <f t="shared" si="0"/>
        <v>20.629706777759971</v>
      </c>
      <c r="P20" s="17">
        <v>1</v>
      </c>
      <c r="Q20" s="131">
        <v>3.14</v>
      </c>
      <c r="R20" s="27">
        <f t="shared" si="1"/>
        <v>1.2738853503184713</v>
      </c>
      <c r="S20" s="2" t="s">
        <v>0</v>
      </c>
      <c r="T20" s="18" t="s">
        <v>0</v>
      </c>
      <c r="U20" s="23" t="str">
        <f t="shared" si="2"/>
        <v>NO</v>
      </c>
      <c r="V20" s="124">
        <v>20</v>
      </c>
      <c r="W20" s="23" t="str">
        <f t="shared" si="6"/>
        <v>NO</v>
      </c>
      <c r="X20" s="18" t="s">
        <v>0</v>
      </c>
      <c r="Y20" s="23">
        <f t="shared" si="3"/>
        <v>0</v>
      </c>
      <c r="Z20" s="13">
        <v>4</v>
      </c>
      <c r="AA20" s="28">
        <f t="shared" si="4"/>
        <v>4</v>
      </c>
      <c r="AB20" s="17">
        <v>4</v>
      </c>
      <c r="AC20" s="24">
        <f t="shared" si="5"/>
        <v>12</v>
      </c>
      <c r="AD20" s="117">
        <v>6</v>
      </c>
      <c r="AE20" s="7">
        <v>7</v>
      </c>
      <c r="AF20" s="138">
        <v>2328.7559999999999</v>
      </c>
      <c r="AG20" s="137">
        <v>1566.5550000000001</v>
      </c>
      <c r="AH20" s="32">
        <v>1650</v>
      </c>
      <c r="AI20" s="138">
        <v>0.95399999999999996</v>
      </c>
      <c r="AJ20" s="138">
        <v>3.3000000000000002E-2</v>
      </c>
      <c r="AK20" s="137">
        <v>11.95</v>
      </c>
      <c r="AL20" s="137">
        <v>1.18</v>
      </c>
      <c r="AM20" s="137">
        <v>31.24</v>
      </c>
      <c r="AN20" s="137">
        <v>2.0499999999999998</v>
      </c>
      <c r="AO20" s="137">
        <v>24.53</v>
      </c>
      <c r="AP20" s="137">
        <v>1.46</v>
      </c>
      <c r="AQ20" s="137">
        <v>32.19</v>
      </c>
      <c r="AR20" s="137">
        <v>1.34</v>
      </c>
      <c r="AS20" s="137">
        <v>-84.191000000000003</v>
      </c>
      <c r="AT20" s="137">
        <v>3.528</v>
      </c>
      <c r="AU20" s="137">
        <v>23.425999999999998</v>
      </c>
      <c r="AV20" s="137">
        <v>2.2330000000000001</v>
      </c>
      <c r="AW20" s="137">
        <v>62.924999999999997</v>
      </c>
      <c r="AX20" s="137">
        <v>2.351</v>
      </c>
      <c r="AY20" s="138">
        <v>1.5840000000000001</v>
      </c>
      <c r="AZ20" s="138">
        <v>9.8000000000000004E-2</v>
      </c>
      <c r="BA20" s="138">
        <v>1.425</v>
      </c>
      <c r="BB20" s="138">
        <v>0.08</v>
      </c>
      <c r="BC20" s="138">
        <v>1.5049999999999999</v>
      </c>
      <c r="BD20" s="138">
        <v>8.1000000000000003E-2</v>
      </c>
      <c r="BE20" s="138">
        <v>1.4419999999999999</v>
      </c>
      <c r="BF20" s="138">
        <v>7.9000000000000001E-2</v>
      </c>
      <c r="BG20" s="138">
        <v>0.23200000000000001</v>
      </c>
      <c r="BH20" s="138">
        <v>6.6000000000000003E-2</v>
      </c>
    </row>
    <row r="21" spans="1:60" x14ac:dyDescent="0.2">
      <c r="A21" s="21">
        <v>18</v>
      </c>
      <c r="B21" s="21" t="s">
        <v>122</v>
      </c>
      <c r="C21" s="44"/>
      <c r="D21" s="140">
        <v>44440</v>
      </c>
      <c r="E21" s="4" t="s">
        <v>0</v>
      </c>
      <c r="F21" s="109" t="s">
        <v>62</v>
      </c>
      <c r="G21" s="8" t="s">
        <v>6</v>
      </c>
      <c r="H21" s="17" t="s">
        <v>2</v>
      </c>
      <c r="I21" s="74" t="s">
        <v>83</v>
      </c>
      <c r="J21" s="17" t="s">
        <v>279</v>
      </c>
      <c r="K21" s="17" t="s">
        <v>3</v>
      </c>
      <c r="L21" s="20" t="s">
        <v>0</v>
      </c>
      <c r="M21" s="124">
        <v>52</v>
      </c>
      <c r="N21" s="117">
        <v>1.54</v>
      </c>
      <c r="O21" s="31">
        <f t="shared" si="0"/>
        <v>21.926125822229718</v>
      </c>
      <c r="P21" s="17">
        <v>1</v>
      </c>
      <c r="Q21" s="131">
        <v>4.7300000000000004</v>
      </c>
      <c r="R21" s="27">
        <f t="shared" si="1"/>
        <v>0.84566596194503163</v>
      </c>
      <c r="S21" s="2" t="s">
        <v>0</v>
      </c>
      <c r="T21" s="18" t="s">
        <v>84</v>
      </c>
      <c r="U21" s="23" t="str">
        <f t="shared" si="2"/>
        <v>NO</v>
      </c>
      <c r="V21" s="124">
        <v>16.399999999999999</v>
      </c>
      <c r="W21" s="23" t="str">
        <f t="shared" si="6"/>
        <v>NO</v>
      </c>
      <c r="X21" s="18" t="s">
        <v>0</v>
      </c>
      <c r="Y21" s="23">
        <f t="shared" si="3"/>
        <v>1</v>
      </c>
      <c r="Z21" s="13">
        <v>4</v>
      </c>
      <c r="AA21" s="28">
        <f t="shared" si="4"/>
        <v>4</v>
      </c>
      <c r="AB21" s="17">
        <v>0</v>
      </c>
      <c r="AC21" s="24">
        <f t="shared" si="5"/>
        <v>8</v>
      </c>
      <c r="AD21" s="117" t="s">
        <v>105</v>
      </c>
      <c r="AE21" s="7">
        <v>8</v>
      </c>
      <c r="AF21" s="138">
        <v>1670.4639999999999</v>
      </c>
      <c r="AG21" s="137">
        <v>1650.1769999999999</v>
      </c>
      <c r="AH21" s="32">
        <v>1456</v>
      </c>
      <c r="AI21" s="138">
        <v>1.1359999999999999</v>
      </c>
      <c r="AJ21" s="138">
        <v>5.7000000000000002E-2</v>
      </c>
      <c r="AK21" s="137">
        <v>12.62</v>
      </c>
      <c r="AL21" s="137">
        <v>1.1299999999999999</v>
      </c>
      <c r="AM21" s="137">
        <v>35.450000000000003</v>
      </c>
      <c r="AN21" s="137">
        <v>1.68</v>
      </c>
      <c r="AO21" s="137">
        <v>21.38</v>
      </c>
      <c r="AP21" s="137">
        <v>0.91</v>
      </c>
      <c r="AQ21" s="137">
        <v>30.54</v>
      </c>
      <c r="AR21" s="137">
        <v>0.92</v>
      </c>
      <c r="AS21" s="137">
        <v>-63.720999999999997</v>
      </c>
      <c r="AT21" s="137">
        <v>3.7330000000000001</v>
      </c>
      <c r="AU21" s="137">
        <v>24.266999999999999</v>
      </c>
      <c r="AV21" s="137">
        <v>2.8650000000000002</v>
      </c>
      <c r="AW21" s="137">
        <v>52.91</v>
      </c>
      <c r="AX21" s="137">
        <v>2.7189999999999999</v>
      </c>
      <c r="AY21" s="138">
        <v>1.06</v>
      </c>
      <c r="AZ21" s="138">
        <v>8.3000000000000004E-2</v>
      </c>
      <c r="BA21" s="138">
        <v>1.1499999999999999</v>
      </c>
      <c r="BB21" s="138">
        <v>5.5E-2</v>
      </c>
      <c r="BC21" s="138">
        <v>1.1990000000000001</v>
      </c>
      <c r="BD21" s="138">
        <v>5.7000000000000002E-2</v>
      </c>
      <c r="BE21" s="138">
        <v>1.159</v>
      </c>
      <c r="BF21" s="138">
        <v>5.3999999999999999E-2</v>
      </c>
      <c r="BG21" s="138">
        <v>0.13900000000000001</v>
      </c>
      <c r="BH21" s="138">
        <v>3.5000000000000003E-2</v>
      </c>
    </row>
    <row r="22" spans="1:60" x14ac:dyDescent="0.2">
      <c r="A22" s="21">
        <v>19</v>
      </c>
      <c r="B22" s="21" t="s">
        <v>123</v>
      </c>
      <c r="C22" s="44"/>
      <c r="D22" s="140">
        <v>44440</v>
      </c>
      <c r="E22" s="4" t="s">
        <v>0</v>
      </c>
      <c r="F22" s="109" t="s">
        <v>62</v>
      </c>
      <c r="G22" s="111">
        <v>877</v>
      </c>
      <c r="H22" s="1" t="s">
        <v>80</v>
      </c>
      <c r="I22" s="76" t="s">
        <v>83</v>
      </c>
      <c r="J22" s="1" t="s">
        <v>279</v>
      </c>
      <c r="K22" s="1" t="s">
        <v>3</v>
      </c>
      <c r="L22" s="20" t="s">
        <v>0</v>
      </c>
      <c r="M22" s="125">
        <v>64.599999999999994</v>
      </c>
      <c r="N22" s="118">
        <v>1.51</v>
      </c>
      <c r="O22" s="31">
        <f t="shared" si="0"/>
        <v>28.332090697776412</v>
      </c>
      <c r="P22" s="1">
        <v>2</v>
      </c>
      <c r="Q22" s="132">
        <v>3.8</v>
      </c>
      <c r="R22" s="27">
        <f t="shared" si="1"/>
        <v>1.0526315789473684</v>
      </c>
      <c r="S22" s="2" t="s">
        <v>0</v>
      </c>
      <c r="T22" s="67" t="s">
        <v>0</v>
      </c>
      <c r="U22" s="23" t="str">
        <f t="shared" si="2"/>
        <v>NO</v>
      </c>
      <c r="V22" s="125">
        <v>22</v>
      </c>
      <c r="W22" s="23" t="str">
        <f t="shared" si="6"/>
        <v>NO</v>
      </c>
      <c r="X22" s="18" t="s">
        <v>0</v>
      </c>
      <c r="Y22" s="23">
        <f t="shared" si="3"/>
        <v>0</v>
      </c>
      <c r="Z22" s="11">
        <v>4</v>
      </c>
      <c r="AA22" s="28">
        <f t="shared" si="4"/>
        <v>4</v>
      </c>
      <c r="AB22" s="1">
        <v>3</v>
      </c>
      <c r="AC22" s="24">
        <f t="shared" si="5"/>
        <v>11</v>
      </c>
      <c r="AD22" s="118">
        <v>11.53</v>
      </c>
      <c r="AE22" s="6">
        <v>7</v>
      </c>
      <c r="AF22" s="138">
        <v>1094.905</v>
      </c>
      <c r="AG22" s="137">
        <v>1110.7139999999999</v>
      </c>
      <c r="AH22" s="32">
        <v>967</v>
      </c>
      <c r="AI22" s="138">
        <v>1.159</v>
      </c>
      <c r="AJ22" s="138">
        <v>5.7000000000000002E-2</v>
      </c>
      <c r="AK22" s="137">
        <v>15.73</v>
      </c>
      <c r="AL22" s="137">
        <v>1.55</v>
      </c>
      <c r="AM22" s="137">
        <v>36.29</v>
      </c>
      <c r="AN22" s="137">
        <v>2.61</v>
      </c>
      <c r="AO22" s="137">
        <v>18</v>
      </c>
      <c r="AP22" s="137">
        <v>1.0900000000000001</v>
      </c>
      <c r="AQ22" s="137">
        <v>29.93</v>
      </c>
      <c r="AR22" s="137">
        <v>1.66</v>
      </c>
      <c r="AS22" s="137">
        <v>-47.427</v>
      </c>
      <c r="AT22" s="137">
        <v>4.7300000000000004</v>
      </c>
      <c r="AU22" s="137">
        <v>38.021000000000001</v>
      </c>
      <c r="AV22" s="137">
        <v>6.13</v>
      </c>
      <c r="AW22" s="137">
        <v>51.725999999999999</v>
      </c>
      <c r="AX22" s="137">
        <v>2.8149999999999999</v>
      </c>
      <c r="AY22" s="138">
        <v>1.0629999999999999</v>
      </c>
      <c r="AZ22" s="138">
        <v>8.8999999999999996E-2</v>
      </c>
      <c r="BA22" s="138">
        <v>1.1459999999999999</v>
      </c>
      <c r="BB22" s="138">
        <v>8.8999999999999996E-2</v>
      </c>
      <c r="BC22" s="138">
        <v>1.22</v>
      </c>
      <c r="BD22" s="138">
        <v>8.7999999999999995E-2</v>
      </c>
      <c r="BE22" s="138">
        <v>1.1619999999999999</v>
      </c>
      <c r="BF22" s="138">
        <v>0.09</v>
      </c>
      <c r="BG22" s="138">
        <v>0.14000000000000001</v>
      </c>
      <c r="BH22" s="138">
        <v>4.2000000000000003E-2</v>
      </c>
    </row>
    <row r="23" spans="1:60" x14ac:dyDescent="0.2">
      <c r="A23" s="21">
        <v>20</v>
      </c>
      <c r="B23" s="21" t="s">
        <v>124</v>
      </c>
      <c r="C23" s="44"/>
      <c r="D23" s="140">
        <v>44440</v>
      </c>
      <c r="E23" s="4" t="s">
        <v>0</v>
      </c>
      <c r="F23" s="109" t="s">
        <v>62</v>
      </c>
      <c r="G23" s="8" t="s">
        <v>7</v>
      </c>
      <c r="H23" s="17" t="s">
        <v>2</v>
      </c>
      <c r="I23" s="76" t="s">
        <v>83</v>
      </c>
      <c r="J23" s="17" t="s">
        <v>280</v>
      </c>
      <c r="K23" s="17" t="s">
        <v>3</v>
      </c>
      <c r="L23" s="20" t="s">
        <v>0</v>
      </c>
      <c r="M23" s="124">
        <v>66</v>
      </c>
      <c r="N23" s="117">
        <v>1.68</v>
      </c>
      <c r="O23" s="31">
        <f t="shared" si="0"/>
        <v>23.384353741496604</v>
      </c>
      <c r="P23" s="17">
        <v>1</v>
      </c>
      <c r="Q23" s="131">
        <v>1.96</v>
      </c>
      <c r="R23" s="27">
        <f t="shared" si="1"/>
        <v>2.0408163265306123</v>
      </c>
      <c r="S23" s="2" t="s">
        <v>0</v>
      </c>
      <c r="T23" s="18" t="s">
        <v>0</v>
      </c>
      <c r="U23" s="23" t="str">
        <f t="shared" si="2"/>
        <v>NO</v>
      </c>
      <c r="V23" s="124">
        <v>19.399999999999999</v>
      </c>
      <c r="W23" s="23" t="str">
        <f t="shared" si="6"/>
        <v>NO</v>
      </c>
      <c r="X23" s="18" t="s">
        <v>0</v>
      </c>
      <c r="Y23" s="23">
        <f t="shared" si="3"/>
        <v>0</v>
      </c>
      <c r="Z23" s="13">
        <v>4</v>
      </c>
      <c r="AA23" s="28">
        <f t="shared" si="4"/>
        <v>4</v>
      </c>
      <c r="AB23" s="17">
        <v>4</v>
      </c>
      <c r="AC23" s="24">
        <f t="shared" si="5"/>
        <v>12</v>
      </c>
      <c r="AD23" s="117">
        <v>7.66</v>
      </c>
      <c r="AE23" s="7">
        <v>8</v>
      </c>
      <c r="AF23" s="138">
        <v>2611.6289999999999</v>
      </c>
      <c r="AG23" s="137">
        <v>1715.162</v>
      </c>
      <c r="AH23" s="32">
        <v>1767</v>
      </c>
      <c r="AI23" s="138">
        <v>0.97599999999999998</v>
      </c>
      <c r="AJ23" s="138">
        <v>0.05</v>
      </c>
      <c r="AK23" s="137">
        <v>12.78</v>
      </c>
      <c r="AL23" s="137">
        <v>1.56</v>
      </c>
      <c r="AM23" s="137">
        <v>26.76</v>
      </c>
      <c r="AN23" s="137">
        <v>3.84</v>
      </c>
      <c r="AO23" s="137">
        <v>26.8</v>
      </c>
      <c r="AP23" s="137">
        <v>2.95</v>
      </c>
      <c r="AQ23" s="137">
        <v>33.630000000000003</v>
      </c>
      <c r="AR23" s="137">
        <v>1.87</v>
      </c>
      <c r="AS23" s="137">
        <v>-83.290999999999997</v>
      </c>
      <c r="AT23" s="137">
        <v>2.8370000000000002</v>
      </c>
      <c r="AU23" s="137">
        <v>20.422000000000001</v>
      </c>
      <c r="AV23" s="137">
        <v>1.976</v>
      </c>
      <c r="AW23" s="137">
        <v>61.542000000000002</v>
      </c>
      <c r="AX23" s="137">
        <v>3.6589999999999998</v>
      </c>
      <c r="AY23" s="138">
        <v>1.607</v>
      </c>
      <c r="AZ23" s="138">
        <v>9.4E-2</v>
      </c>
      <c r="BA23" s="138">
        <v>1.4850000000000001</v>
      </c>
      <c r="BB23" s="138">
        <v>5.8999999999999997E-2</v>
      </c>
      <c r="BC23" s="138">
        <v>1.5629999999999999</v>
      </c>
      <c r="BD23" s="138">
        <v>5.0999999999999997E-2</v>
      </c>
      <c r="BE23" s="138">
        <v>1.502</v>
      </c>
      <c r="BF23" s="138">
        <v>5.0999999999999997E-2</v>
      </c>
      <c r="BG23" s="138">
        <v>0.30399999999999999</v>
      </c>
      <c r="BH23" s="138">
        <v>7.2999999999999995E-2</v>
      </c>
    </row>
    <row r="24" spans="1:60" x14ac:dyDescent="0.2">
      <c r="A24" s="21">
        <v>21</v>
      </c>
      <c r="B24" s="21" t="s">
        <v>125</v>
      </c>
      <c r="C24" s="44"/>
      <c r="D24" s="140">
        <v>44440</v>
      </c>
      <c r="E24" s="4" t="s">
        <v>0</v>
      </c>
      <c r="F24" s="109" t="s">
        <v>62</v>
      </c>
      <c r="G24" s="8" t="s">
        <v>8</v>
      </c>
      <c r="H24" s="17" t="s">
        <v>2</v>
      </c>
      <c r="I24" s="74" t="s">
        <v>83</v>
      </c>
      <c r="J24" s="17" t="s">
        <v>282</v>
      </c>
      <c r="K24" s="17" t="s">
        <v>3</v>
      </c>
      <c r="L24" s="20" t="s">
        <v>0</v>
      </c>
      <c r="M24" s="124">
        <v>65</v>
      </c>
      <c r="N24" s="117">
        <v>1.65</v>
      </c>
      <c r="O24" s="31">
        <f t="shared" si="0"/>
        <v>23.875114784205696</v>
      </c>
      <c r="P24" s="17">
        <v>1</v>
      </c>
      <c r="Q24" s="131">
        <v>4.5999999999999996</v>
      </c>
      <c r="R24" s="27">
        <f t="shared" si="1"/>
        <v>0.86956521739130443</v>
      </c>
      <c r="S24" s="2" t="s">
        <v>0</v>
      </c>
      <c r="T24" s="18" t="s">
        <v>84</v>
      </c>
      <c r="U24" s="23" t="str">
        <f t="shared" si="2"/>
        <v>NO</v>
      </c>
      <c r="V24" s="124">
        <v>17.3</v>
      </c>
      <c r="W24" s="23" t="str">
        <f t="shared" si="6"/>
        <v>NO</v>
      </c>
      <c r="X24" s="18" t="s">
        <v>0</v>
      </c>
      <c r="Y24" s="23">
        <f t="shared" si="3"/>
        <v>1</v>
      </c>
      <c r="Z24" s="13">
        <v>4</v>
      </c>
      <c r="AA24" s="28">
        <f t="shared" si="4"/>
        <v>4</v>
      </c>
      <c r="AB24" s="17">
        <v>3</v>
      </c>
      <c r="AC24" s="24">
        <f t="shared" si="5"/>
        <v>11</v>
      </c>
      <c r="AD24" s="117">
        <v>9.3800000000000008</v>
      </c>
      <c r="AE24" s="7">
        <v>7</v>
      </c>
      <c r="AF24" s="138">
        <v>910.35500000000002</v>
      </c>
      <c r="AG24" s="137">
        <v>1067.4159999999999</v>
      </c>
      <c r="AH24" s="32">
        <v>797</v>
      </c>
      <c r="AI24" s="138">
        <v>1.343</v>
      </c>
      <c r="AJ24" s="138">
        <v>6.3E-2</v>
      </c>
      <c r="AK24" s="137">
        <v>10.09</v>
      </c>
      <c r="AL24" s="137">
        <v>1.22</v>
      </c>
      <c r="AM24" s="137">
        <v>42.41</v>
      </c>
      <c r="AN24" s="137">
        <v>2.1</v>
      </c>
      <c r="AO24" s="137">
        <v>17.78</v>
      </c>
      <c r="AP24" s="137">
        <v>1.1399999999999999</v>
      </c>
      <c r="AQ24" s="137">
        <v>29.72</v>
      </c>
      <c r="AR24" s="137">
        <v>1.03</v>
      </c>
      <c r="AS24" s="137">
        <v>-68.004000000000005</v>
      </c>
      <c r="AT24" s="137">
        <v>4.9610000000000003</v>
      </c>
      <c r="AU24" s="137">
        <v>19.013000000000002</v>
      </c>
      <c r="AV24" s="137">
        <v>2.286</v>
      </c>
      <c r="AW24" s="137">
        <v>44.758000000000003</v>
      </c>
      <c r="AX24" s="137">
        <v>2.0870000000000002</v>
      </c>
      <c r="AY24" s="138">
        <v>0.89600000000000002</v>
      </c>
      <c r="AZ24" s="138">
        <v>7.4999999999999997E-2</v>
      </c>
      <c r="BA24" s="138">
        <v>1.1479999999999999</v>
      </c>
      <c r="BB24" s="138">
        <v>6.7000000000000004E-2</v>
      </c>
      <c r="BC24" s="138">
        <v>1.1990000000000001</v>
      </c>
      <c r="BD24" s="138">
        <v>6.9000000000000006E-2</v>
      </c>
      <c r="BE24" s="138">
        <v>1.1619999999999999</v>
      </c>
      <c r="BF24" s="138">
        <v>6.6000000000000003E-2</v>
      </c>
      <c r="BG24" s="138">
        <v>9.6000000000000002E-2</v>
      </c>
      <c r="BH24" s="138">
        <v>2.4E-2</v>
      </c>
    </row>
    <row r="25" spans="1:60" x14ac:dyDescent="0.2">
      <c r="A25" s="21">
        <v>22</v>
      </c>
      <c r="B25" s="21" t="s">
        <v>126</v>
      </c>
      <c r="C25" s="44"/>
      <c r="D25" s="140">
        <v>44440</v>
      </c>
      <c r="E25" s="4" t="s">
        <v>0</v>
      </c>
      <c r="F25" s="109" t="s">
        <v>62</v>
      </c>
      <c r="G25" s="8" t="s">
        <v>9</v>
      </c>
      <c r="H25" s="18" t="s">
        <v>2</v>
      </c>
      <c r="I25" s="77" t="s">
        <v>83</v>
      </c>
      <c r="J25" s="18" t="s">
        <v>279</v>
      </c>
      <c r="K25" s="18" t="s">
        <v>3</v>
      </c>
      <c r="L25" s="20" t="s">
        <v>0</v>
      </c>
      <c r="M25" s="126">
        <v>55</v>
      </c>
      <c r="N25" s="119">
        <v>1.52</v>
      </c>
      <c r="O25" s="31">
        <f t="shared" si="0"/>
        <v>23.80540166204986</v>
      </c>
      <c r="P25" s="18">
        <v>1</v>
      </c>
      <c r="Q25" s="133">
        <v>3.36</v>
      </c>
      <c r="R25" s="27">
        <f t="shared" si="1"/>
        <v>1.1904761904761905</v>
      </c>
      <c r="S25" s="2" t="s">
        <v>0</v>
      </c>
      <c r="T25" s="18" t="s">
        <v>0</v>
      </c>
      <c r="U25" s="23" t="str">
        <f t="shared" si="2"/>
        <v>NO</v>
      </c>
      <c r="V25" s="126">
        <v>17.5</v>
      </c>
      <c r="W25" s="23" t="str">
        <f t="shared" si="6"/>
        <v>NO</v>
      </c>
      <c r="X25" s="18" t="s">
        <v>0</v>
      </c>
      <c r="Y25" s="23">
        <f t="shared" si="3"/>
        <v>0</v>
      </c>
      <c r="Z25" s="14">
        <v>4</v>
      </c>
      <c r="AA25" s="28">
        <f t="shared" si="4"/>
        <v>4</v>
      </c>
      <c r="AB25" s="18">
        <v>2</v>
      </c>
      <c r="AC25" s="29">
        <f t="shared" si="5"/>
        <v>10</v>
      </c>
      <c r="AD25" s="119">
        <v>8.84</v>
      </c>
      <c r="AE25" s="8">
        <v>8</v>
      </c>
      <c r="AF25" s="138">
        <v>1343.607</v>
      </c>
      <c r="AG25" s="137">
        <v>1200.77</v>
      </c>
      <c r="AH25" s="32">
        <v>1009</v>
      </c>
      <c r="AI25" s="138">
        <v>1.194</v>
      </c>
      <c r="AJ25" s="138">
        <v>4.4999999999999998E-2</v>
      </c>
      <c r="AK25" s="137">
        <v>13.52</v>
      </c>
      <c r="AL25" s="137">
        <v>1.18</v>
      </c>
      <c r="AM25" s="137">
        <v>31.35</v>
      </c>
      <c r="AN25" s="137">
        <v>1.93</v>
      </c>
      <c r="AO25" s="137">
        <v>24.07</v>
      </c>
      <c r="AP25" s="137">
        <v>1.1299999999999999</v>
      </c>
      <c r="AQ25" s="137">
        <v>30.99</v>
      </c>
      <c r="AR25" s="137">
        <v>0.98</v>
      </c>
      <c r="AS25" s="137">
        <v>-81.093999999999994</v>
      </c>
      <c r="AT25" s="137">
        <v>3.7709999999999999</v>
      </c>
      <c r="AU25" s="137">
        <v>25.841000000000001</v>
      </c>
      <c r="AV25" s="137">
        <v>2.121</v>
      </c>
      <c r="AW25" s="137">
        <v>50.332999999999998</v>
      </c>
      <c r="AX25" s="137">
        <v>1.748</v>
      </c>
      <c r="AY25" s="138">
        <v>1.175</v>
      </c>
      <c r="AZ25" s="138">
        <v>7.0999999999999994E-2</v>
      </c>
      <c r="BA25" s="138">
        <v>1.3360000000000001</v>
      </c>
      <c r="BB25" s="138">
        <v>5.8000000000000003E-2</v>
      </c>
      <c r="BC25" s="138">
        <v>1.399</v>
      </c>
      <c r="BD25" s="138">
        <v>5.8999999999999997E-2</v>
      </c>
      <c r="BE25" s="138">
        <v>1.357</v>
      </c>
      <c r="BF25" s="138">
        <v>5.8000000000000003E-2</v>
      </c>
      <c r="BG25" s="138">
        <v>8.8999999999999996E-2</v>
      </c>
      <c r="BH25" s="138">
        <v>1.7999999999999999E-2</v>
      </c>
    </row>
    <row r="26" spans="1:60" x14ac:dyDescent="0.2">
      <c r="A26" s="21">
        <v>23</v>
      </c>
      <c r="B26" s="21" t="s">
        <v>127</v>
      </c>
      <c r="C26" s="44"/>
      <c r="D26" s="140">
        <v>44440</v>
      </c>
      <c r="E26" s="4" t="s">
        <v>0</v>
      </c>
      <c r="F26" s="109" t="s">
        <v>62</v>
      </c>
      <c r="G26" s="8" t="s">
        <v>10</v>
      </c>
      <c r="H26" s="17" t="s">
        <v>2</v>
      </c>
      <c r="I26" s="74" t="s">
        <v>83</v>
      </c>
      <c r="J26" s="17" t="s">
        <v>280</v>
      </c>
      <c r="K26" s="17" t="s">
        <v>3</v>
      </c>
      <c r="L26" s="20" t="s">
        <v>0</v>
      </c>
      <c r="M26" s="124">
        <v>77</v>
      </c>
      <c r="N26" s="117">
        <v>1.56</v>
      </c>
      <c r="O26" s="31">
        <f t="shared" si="0"/>
        <v>31.640368178829714</v>
      </c>
      <c r="P26" s="17">
        <v>1</v>
      </c>
      <c r="Q26" s="131">
        <v>3.61</v>
      </c>
      <c r="R26" s="27">
        <f t="shared" si="1"/>
        <v>1.10803324099723</v>
      </c>
      <c r="S26" s="2" t="s">
        <v>0</v>
      </c>
      <c r="T26" s="18" t="s">
        <v>84</v>
      </c>
      <c r="U26" s="23" t="str">
        <f t="shared" si="2"/>
        <v>NO</v>
      </c>
      <c r="V26" s="124">
        <v>18.399999999999999</v>
      </c>
      <c r="W26" s="23" t="str">
        <f t="shared" si="6"/>
        <v>NO</v>
      </c>
      <c r="X26" s="18" t="s">
        <v>0</v>
      </c>
      <c r="Y26" s="23">
        <f t="shared" si="3"/>
        <v>1</v>
      </c>
      <c r="Z26" s="13">
        <v>4</v>
      </c>
      <c r="AA26" s="28">
        <f t="shared" si="4"/>
        <v>4</v>
      </c>
      <c r="AB26" s="17">
        <v>3</v>
      </c>
      <c r="AC26" s="24">
        <f t="shared" si="5"/>
        <v>11</v>
      </c>
      <c r="AD26" s="117">
        <v>9.82</v>
      </c>
      <c r="AE26" s="7">
        <v>10</v>
      </c>
      <c r="AF26" s="138">
        <v>2363.4259999999999</v>
      </c>
      <c r="AG26" s="137">
        <v>1876.5709999999999</v>
      </c>
      <c r="AH26" s="32">
        <v>1849</v>
      </c>
      <c r="AI26" s="138">
        <v>1.02</v>
      </c>
      <c r="AJ26" s="138">
        <v>4.2000000000000003E-2</v>
      </c>
      <c r="AK26" s="137">
        <v>15.69</v>
      </c>
      <c r="AL26" s="137">
        <v>1.52</v>
      </c>
      <c r="AM26" s="137">
        <v>31.68</v>
      </c>
      <c r="AN26" s="137">
        <v>2</v>
      </c>
      <c r="AO26" s="137">
        <v>20.95</v>
      </c>
      <c r="AP26" s="137">
        <v>1.1399999999999999</v>
      </c>
      <c r="AQ26" s="137">
        <v>31.63</v>
      </c>
      <c r="AR26" s="137">
        <v>1.23</v>
      </c>
      <c r="AS26" s="137">
        <v>-76.995999999999995</v>
      </c>
      <c r="AT26" s="137">
        <v>3.617</v>
      </c>
      <c r="AU26" s="137">
        <v>20.978000000000002</v>
      </c>
      <c r="AV26" s="137">
        <v>1.8480000000000001</v>
      </c>
      <c r="AW26" s="137">
        <v>58.808</v>
      </c>
      <c r="AX26" s="137">
        <v>2.6339999999999999</v>
      </c>
      <c r="AY26" s="138">
        <v>1.325</v>
      </c>
      <c r="AZ26" s="138">
        <v>8.2000000000000003E-2</v>
      </c>
      <c r="BA26" s="138">
        <v>1.288</v>
      </c>
      <c r="BB26" s="138">
        <v>6.7000000000000004E-2</v>
      </c>
      <c r="BC26" s="138">
        <v>1.3460000000000001</v>
      </c>
      <c r="BD26" s="138">
        <v>6.3E-2</v>
      </c>
      <c r="BE26" s="138">
        <v>1.302</v>
      </c>
      <c r="BF26" s="138">
        <v>6.4000000000000001E-2</v>
      </c>
      <c r="BG26" s="138">
        <v>0.11700000000000001</v>
      </c>
      <c r="BH26" s="138">
        <v>3.5999999999999997E-2</v>
      </c>
    </row>
    <row r="27" spans="1:60" x14ac:dyDescent="0.2">
      <c r="A27" s="21">
        <v>24</v>
      </c>
      <c r="B27" s="21" t="s">
        <v>128</v>
      </c>
      <c r="C27" s="44"/>
      <c r="D27" s="140">
        <v>44440</v>
      </c>
      <c r="E27" s="4" t="s">
        <v>0</v>
      </c>
      <c r="F27" s="109" t="s">
        <v>62</v>
      </c>
      <c r="G27" s="109" t="s">
        <v>6</v>
      </c>
      <c r="H27" s="17" t="s">
        <v>2</v>
      </c>
      <c r="I27" s="74" t="s">
        <v>83</v>
      </c>
      <c r="J27" s="17" t="s">
        <v>283</v>
      </c>
      <c r="K27" s="17" t="s">
        <v>3</v>
      </c>
      <c r="L27" s="20" t="s">
        <v>0</v>
      </c>
      <c r="M27" s="124">
        <v>63</v>
      </c>
      <c r="N27" s="117">
        <v>1.76</v>
      </c>
      <c r="O27" s="31">
        <f t="shared" si="0"/>
        <v>20.338326446280991</v>
      </c>
      <c r="P27" s="17">
        <v>1</v>
      </c>
      <c r="Q27" s="131">
        <v>3.08</v>
      </c>
      <c r="R27" s="27">
        <f t="shared" si="1"/>
        <v>1.2987012987012987</v>
      </c>
      <c r="S27" s="2" t="s">
        <v>0</v>
      </c>
      <c r="T27" s="18" t="s">
        <v>0</v>
      </c>
      <c r="U27" s="23" t="str">
        <f t="shared" si="2"/>
        <v>NO</v>
      </c>
      <c r="V27" s="124">
        <v>25.5</v>
      </c>
      <c r="W27" s="23" t="str">
        <f t="shared" si="6"/>
        <v>NO</v>
      </c>
      <c r="X27" s="18" t="s">
        <v>0</v>
      </c>
      <c r="Y27" s="23">
        <f t="shared" si="3"/>
        <v>0</v>
      </c>
      <c r="Z27" s="13">
        <v>4</v>
      </c>
      <c r="AA27" s="28">
        <f t="shared" si="4"/>
        <v>4</v>
      </c>
      <c r="AB27" s="17">
        <v>4</v>
      </c>
      <c r="AC27" s="24">
        <f t="shared" si="5"/>
        <v>12</v>
      </c>
      <c r="AD27" s="117">
        <v>7.14</v>
      </c>
      <c r="AE27" s="7">
        <v>7</v>
      </c>
      <c r="AF27" s="138">
        <v>1650.056</v>
      </c>
      <c r="AG27" s="137">
        <v>1499.828</v>
      </c>
      <c r="AH27" s="32">
        <v>1192</v>
      </c>
      <c r="AI27" s="138">
        <v>1.278</v>
      </c>
      <c r="AJ27" s="138">
        <v>0.106</v>
      </c>
      <c r="AK27" s="137">
        <v>9.66</v>
      </c>
      <c r="AL27" s="137">
        <v>1.46</v>
      </c>
      <c r="AM27" s="137">
        <v>33.04</v>
      </c>
      <c r="AN27" s="137">
        <v>5.31</v>
      </c>
      <c r="AO27" s="137">
        <v>22.96</v>
      </c>
      <c r="AP27" s="137">
        <v>3.23</v>
      </c>
      <c r="AQ27" s="137">
        <v>32.979999999999997</v>
      </c>
      <c r="AR27" s="137">
        <v>3.07</v>
      </c>
      <c r="AS27" s="137">
        <v>-74.646000000000001</v>
      </c>
      <c r="AT27" s="137">
        <v>5.6790000000000003</v>
      </c>
      <c r="AU27" s="137">
        <v>14.151</v>
      </c>
      <c r="AV27" s="137">
        <v>2.766</v>
      </c>
      <c r="AW27" s="137">
        <v>47.14</v>
      </c>
      <c r="AX27" s="137">
        <v>4.3710000000000004</v>
      </c>
      <c r="AY27" s="138">
        <v>1.1870000000000001</v>
      </c>
      <c r="AZ27" s="138">
        <v>0.121</v>
      </c>
      <c r="BA27" s="138">
        <v>1.405</v>
      </c>
      <c r="BB27" s="138">
        <v>9.6000000000000002E-2</v>
      </c>
      <c r="BC27" s="138">
        <v>1.5029999999999999</v>
      </c>
      <c r="BD27" s="138">
        <v>8.6999999999999994E-2</v>
      </c>
      <c r="BE27" s="138">
        <v>1.4359999999999999</v>
      </c>
      <c r="BF27" s="138">
        <v>0.09</v>
      </c>
      <c r="BG27" s="138">
        <v>0.222</v>
      </c>
      <c r="BH27" s="138">
        <v>8.1000000000000003E-2</v>
      </c>
    </row>
    <row r="28" spans="1:60" x14ac:dyDescent="0.2">
      <c r="A28" s="21">
        <v>25</v>
      </c>
      <c r="B28" s="21" t="s">
        <v>129</v>
      </c>
      <c r="C28" s="44"/>
      <c r="D28" s="140">
        <v>44440</v>
      </c>
      <c r="E28" s="4" t="s">
        <v>0</v>
      </c>
      <c r="F28" s="109" t="s">
        <v>62</v>
      </c>
      <c r="G28" s="8">
        <v>877</v>
      </c>
      <c r="H28" s="17" t="s">
        <v>2</v>
      </c>
      <c r="I28" s="74" t="s">
        <v>83</v>
      </c>
      <c r="J28" s="17" t="s">
        <v>283</v>
      </c>
      <c r="K28" s="17" t="s">
        <v>5</v>
      </c>
      <c r="L28" s="20" t="s">
        <v>0</v>
      </c>
      <c r="M28" s="124">
        <v>80.599999999999994</v>
      </c>
      <c r="N28" s="117">
        <v>1.84</v>
      </c>
      <c r="O28" s="31">
        <f t="shared" si="0"/>
        <v>23.806710775047257</v>
      </c>
      <c r="P28" s="17">
        <v>1</v>
      </c>
      <c r="Q28" s="131">
        <v>2.95</v>
      </c>
      <c r="R28" s="27">
        <f t="shared" si="1"/>
        <v>1.3559322033898304</v>
      </c>
      <c r="S28" s="2" t="s">
        <v>0</v>
      </c>
      <c r="T28" s="18" t="s">
        <v>0</v>
      </c>
      <c r="U28" s="23" t="str">
        <f t="shared" si="2"/>
        <v>NO</v>
      </c>
      <c r="V28" s="124">
        <v>42</v>
      </c>
      <c r="W28" s="23" t="str">
        <f t="shared" si="6"/>
        <v>NO</v>
      </c>
      <c r="X28" s="18" t="s">
        <v>0</v>
      </c>
      <c r="Y28" s="23">
        <f t="shared" si="3"/>
        <v>0</v>
      </c>
      <c r="Z28" s="13">
        <v>4</v>
      </c>
      <c r="AA28" s="28">
        <f t="shared" si="4"/>
        <v>4</v>
      </c>
      <c r="AB28" s="17">
        <v>2</v>
      </c>
      <c r="AC28" s="24">
        <f t="shared" si="5"/>
        <v>10</v>
      </c>
      <c r="AD28" s="117">
        <v>7.27</v>
      </c>
      <c r="AE28" s="7">
        <v>7</v>
      </c>
      <c r="AF28" s="138">
        <v>2285.8209999999999</v>
      </c>
      <c r="AG28" s="137">
        <v>1909.48</v>
      </c>
      <c r="AH28" s="32">
        <v>1565</v>
      </c>
      <c r="AI28" s="138">
        <v>1.222</v>
      </c>
      <c r="AJ28" s="138">
        <v>7.0000000000000007E-2</v>
      </c>
      <c r="AK28" s="137">
        <v>11.54</v>
      </c>
      <c r="AL28" s="137">
        <v>1.25</v>
      </c>
      <c r="AM28" s="137">
        <v>35.08</v>
      </c>
      <c r="AN28" s="137">
        <v>2.0699999999999998</v>
      </c>
      <c r="AO28" s="137">
        <v>20.07</v>
      </c>
      <c r="AP28" s="137">
        <v>0.92</v>
      </c>
      <c r="AQ28" s="137">
        <v>33.28</v>
      </c>
      <c r="AR28" s="137">
        <v>1.01</v>
      </c>
      <c r="AS28" s="137">
        <v>-76.153000000000006</v>
      </c>
      <c r="AT28" s="137">
        <v>3.5030000000000001</v>
      </c>
      <c r="AU28" s="137">
        <v>26.59</v>
      </c>
      <c r="AV28" s="137">
        <v>2.9159999999999999</v>
      </c>
      <c r="AW28" s="137">
        <v>49.27</v>
      </c>
      <c r="AX28" s="137">
        <v>2.7269999999999999</v>
      </c>
      <c r="AY28" s="138">
        <v>1.2709999999999999</v>
      </c>
      <c r="AZ28" s="138">
        <v>0.123</v>
      </c>
      <c r="BA28" s="138">
        <v>1.4630000000000001</v>
      </c>
      <c r="BB28" s="138">
        <v>7.4999999999999997E-2</v>
      </c>
      <c r="BC28" s="138">
        <v>1.5429999999999999</v>
      </c>
      <c r="BD28" s="138">
        <v>7.8E-2</v>
      </c>
      <c r="BE28" s="138">
        <v>1.4830000000000001</v>
      </c>
      <c r="BF28" s="138">
        <v>7.3999999999999996E-2</v>
      </c>
      <c r="BG28" s="138">
        <v>0.13200000000000001</v>
      </c>
      <c r="BH28" s="138">
        <v>3.5999999999999997E-2</v>
      </c>
    </row>
    <row r="29" spans="1:60" x14ac:dyDescent="0.2">
      <c r="A29" s="21">
        <v>26</v>
      </c>
      <c r="B29" s="21" t="s">
        <v>130</v>
      </c>
      <c r="C29" s="44"/>
      <c r="D29" s="140">
        <v>44470</v>
      </c>
      <c r="E29" s="4" t="s">
        <v>0</v>
      </c>
      <c r="F29" s="109" t="s">
        <v>62</v>
      </c>
      <c r="G29" s="109" t="s">
        <v>4</v>
      </c>
      <c r="H29" s="17" t="s">
        <v>2</v>
      </c>
      <c r="I29" s="75" t="s">
        <v>82</v>
      </c>
      <c r="J29" s="4" t="s">
        <v>280</v>
      </c>
      <c r="K29" s="4" t="s">
        <v>5</v>
      </c>
      <c r="L29" s="20" t="s">
        <v>0</v>
      </c>
      <c r="M29" s="127">
        <v>90</v>
      </c>
      <c r="N29" s="120">
        <v>1.73</v>
      </c>
      <c r="O29" s="31">
        <f t="shared" si="0"/>
        <v>30.071168431955627</v>
      </c>
      <c r="P29" s="17">
        <v>1</v>
      </c>
      <c r="Q29" s="134">
        <v>3.15</v>
      </c>
      <c r="R29" s="27">
        <f t="shared" si="1"/>
        <v>1.2698412698412698</v>
      </c>
      <c r="S29" s="2" t="s">
        <v>0</v>
      </c>
      <c r="T29" s="68" t="s">
        <v>84</v>
      </c>
      <c r="U29" s="23" t="str">
        <f t="shared" si="2"/>
        <v>NO</v>
      </c>
      <c r="V29" s="127">
        <v>27.5</v>
      </c>
      <c r="W29" s="23" t="str">
        <f t="shared" si="6"/>
        <v>NO</v>
      </c>
      <c r="X29" s="18" t="s">
        <v>0</v>
      </c>
      <c r="Y29" s="23">
        <f t="shared" si="3"/>
        <v>1</v>
      </c>
      <c r="Z29" s="13">
        <v>4</v>
      </c>
      <c r="AA29" s="28">
        <f t="shared" si="4"/>
        <v>4</v>
      </c>
      <c r="AB29" s="4">
        <v>3</v>
      </c>
      <c r="AC29" s="24">
        <f t="shared" si="5"/>
        <v>11</v>
      </c>
      <c r="AD29" s="120">
        <v>7.03</v>
      </c>
      <c r="AE29" s="9">
        <v>7</v>
      </c>
      <c r="AF29" s="138">
        <v>1974.443</v>
      </c>
      <c r="AG29" s="137">
        <v>1719.838</v>
      </c>
      <c r="AH29" s="32">
        <v>1492</v>
      </c>
      <c r="AI29" s="138">
        <v>1.1659999999999999</v>
      </c>
      <c r="AJ29" s="138">
        <v>7.0000000000000007E-2</v>
      </c>
      <c r="AK29" s="137">
        <v>13.85</v>
      </c>
      <c r="AL29" s="137">
        <v>1.81</v>
      </c>
      <c r="AM29" s="137">
        <v>36.700000000000003</v>
      </c>
      <c r="AN29" s="137">
        <v>2.9</v>
      </c>
      <c r="AO29" s="137">
        <v>18.47</v>
      </c>
      <c r="AP29" s="137">
        <v>1.77</v>
      </c>
      <c r="AQ29" s="137">
        <v>30.89</v>
      </c>
      <c r="AR29" s="137">
        <v>1.91</v>
      </c>
      <c r="AS29" s="137">
        <v>-66.501000000000005</v>
      </c>
      <c r="AT29" s="137">
        <v>6.9370000000000003</v>
      </c>
      <c r="AU29" s="137">
        <v>28.384</v>
      </c>
      <c r="AV29" s="137">
        <v>4.2839999999999998</v>
      </c>
      <c r="AW29" s="137">
        <v>51.494</v>
      </c>
      <c r="AX29" s="137">
        <v>3.3719999999999999</v>
      </c>
      <c r="AY29" s="138">
        <v>1.2569999999999999</v>
      </c>
      <c r="AZ29" s="138">
        <v>0.13800000000000001</v>
      </c>
      <c r="BA29" s="138">
        <v>1.3460000000000001</v>
      </c>
      <c r="BB29" s="138">
        <v>0.13600000000000001</v>
      </c>
      <c r="BC29" s="138">
        <v>1.456</v>
      </c>
      <c r="BD29" s="138">
        <v>0.128</v>
      </c>
      <c r="BE29" s="138">
        <v>1.367</v>
      </c>
      <c r="BF29" s="138">
        <v>0.13700000000000001</v>
      </c>
      <c r="BG29" s="138">
        <v>0.16900000000000001</v>
      </c>
      <c r="BH29" s="138">
        <v>6.2E-2</v>
      </c>
    </row>
    <row r="30" spans="1:60" x14ac:dyDescent="0.2">
      <c r="A30" s="21">
        <v>27</v>
      </c>
      <c r="B30" s="21" t="s">
        <v>131</v>
      </c>
      <c r="C30" s="44"/>
      <c r="D30" s="140">
        <v>44470</v>
      </c>
      <c r="E30" s="4" t="s">
        <v>0</v>
      </c>
      <c r="F30" s="109" t="s">
        <v>62</v>
      </c>
      <c r="G30" s="109" t="s">
        <v>6</v>
      </c>
      <c r="H30" s="17" t="s">
        <v>2</v>
      </c>
      <c r="I30" s="75" t="s">
        <v>82</v>
      </c>
      <c r="J30" s="4" t="s">
        <v>283</v>
      </c>
      <c r="K30" s="4" t="s">
        <v>3</v>
      </c>
      <c r="L30" s="20" t="s">
        <v>0</v>
      </c>
      <c r="M30" s="127">
        <v>58</v>
      </c>
      <c r="N30" s="120">
        <v>1.72</v>
      </c>
      <c r="O30" s="31">
        <f t="shared" si="0"/>
        <v>19.605191995673341</v>
      </c>
      <c r="P30" s="17">
        <v>1</v>
      </c>
      <c r="Q30" s="134">
        <v>3.61</v>
      </c>
      <c r="R30" s="27">
        <f t="shared" si="1"/>
        <v>1.10803324099723</v>
      </c>
      <c r="S30" s="2" t="s">
        <v>0</v>
      </c>
      <c r="T30" s="68" t="s">
        <v>84</v>
      </c>
      <c r="U30" s="23" t="str">
        <f t="shared" si="2"/>
        <v>NO</v>
      </c>
      <c r="V30" s="127">
        <v>20</v>
      </c>
      <c r="W30" s="23" t="str">
        <f t="shared" si="6"/>
        <v>NO</v>
      </c>
      <c r="X30" s="68" t="s">
        <v>84</v>
      </c>
      <c r="Y30" s="23">
        <f t="shared" si="3"/>
        <v>2</v>
      </c>
      <c r="Z30" s="13">
        <v>4</v>
      </c>
      <c r="AA30" s="28">
        <f t="shared" si="4"/>
        <v>4</v>
      </c>
      <c r="AB30" s="4">
        <v>1</v>
      </c>
      <c r="AC30" s="24">
        <f t="shared" si="5"/>
        <v>9</v>
      </c>
      <c r="AD30" s="120">
        <v>8.32</v>
      </c>
      <c r="AE30" s="9">
        <v>10</v>
      </c>
      <c r="AF30" s="138">
        <v>1768.221</v>
      </c>
      <c r="AG30" s="137">
        <v>1733.5809999999999</v>
      </c>
      <c r="AH30" s="32">
        <v>1449</v>
      </c>
      <c r="AI30" s="138">
        <v>1.202</v>
      </c>
      <c r="AJ30" s="138">
        <v>6.4000000000000001E-2</v>
      </c>
      <c r="AK30" s="137">
        <v>13.08</v>
      </c>
      <c r="AL30" s="137">
        <v>1.4</v>
      </c>
      <c r="AM30" s="137">
        <v>38.25</v>
      </c>
      <c r="AN30" s="137">
        <v>2.36</v>
      </c>
      <c r="AO30" s="137">
        <v>18.13</v>
      </c>
      <c r="AP30" s="137">
        <v>1.56</v>
      </c>
      <c r="AQ30" s="137">
        <v>30.51</v>
      </c>
      <c r="AR30" s="137">
        <v>1.59</v>
      </c>
      <c r="AS30" s="137">
        <v>-60.064</v>
      </c>
      <c r="AT30" s="137">
        <v>6.2969999999999997</v>
      </c>
      <c r="AU30" s="137">
        <v>18.771000000000001</v>
      </c>
      <c r="AV30" s="137">
        <v>3.2189999999999999</v>
      </c>
      <c r="AW30" s="137">
        <v>49.956000000000003</v>
      </c>
      <c r="AX30" s="137">
        <v>2.7309999999999999</v>
      </c>
      <c r="AY30" s="138">
        <v>1.07</v>
      </c>
      <c r="AZ30" s="138">
        <v>0.10199999999999999</v>
      </c>
      <c r="BA30" s="138">
        <v>1.2270000000000001</v>
      </c>
      <c r="BB30" s="138">
        <v>9.8000000000000004E-2</v>
      </c>
      <c r="BC30" s="138">
        <v>1.2769999999999999</v>
      </c>
      <c r="BD30" s="138">
        <v>9.5000000000000001E-2</v>
      </c>
      <c r="BE30" s="138">
        <v>1.2370000000000001</v>
      </c>
      <c r="BF30" s="138">
        <v>9.6000000000000002E-2</v>
      </c>
      <c r="BG30" s="138">
        <v>9.8000000000000004E-2</v>
      </c>
      <c r="BH30" s="138">
        <v>2.8000000000000001E-2</v>
      </c>
    </row>
    <row r="31" spans="1:60" x14ac:dyDescent="0.2">
      <c r="A31" s="21">
        <v>28</v>
      </c>
      <c r="B31" s="21" t="s">
        <v>132</v>
      </c>
      <c r="C31" s="44"/>
      <c r="D31" s="140">
        <v>44470</v>
      </c>
      <c r="E31" s="4" t="s">
        <v>0</v>
      </c>
      <c r="F31" s="109" t="s">
        <v>62</v>
      </c>
      <c r="G31" s="109" t="s">
        <v>1</v>
      </c>
      <c r="H31" s="17" t="s">
        <v>2</v>
      </c>
      <c r="I31" s="75" t="s">
        <v>82</v>
      </c>
      <c r="J31" s="4" t="s">
        <v>280</v>
      </c>
      <c r="K31" s="4" t="s">
        <v>3</v>
      </c>
      <c r="L31" s="20" t="s">
        <v>0</v>
      </c>
      <c r="M31" s="127">
        <v>66</v>
      </c>
      <c r="N31" s="120">
        <v>1.6</v>
      </c>
      <c r="O31" s="31">
        <f t="shared" si="0"/>
        <v>25.781249999999996</v>
      </c>
      <c r="P31" s="17">
        <v>1</v>
      </c>
      <c r="Q31" s="134">
        <v>2.68</v>
      </c>
      <c r="R31" s="27">
        <f t="shared" si="1"/>
        <v>1.4925373134328357</v>
      </c>
      <c r="S31" s="2" t="s">
        <v>0</v>
      </c>
      <c r="T31" s="68" t="s">
        <v>84</v>
      </c>
      <c r="U31" s="23" t="str">
        <f t="shared" si="2"/>
        <v>NO</v>
      </c>
      <c r="V31" s="127">
        <v>24</v>
      </c>
      <c r="W31" s="23" t="str">
        <f t="shared" si="6"/>
        <v>NO</v>
      </c>
      <c r="X31" s="68" t="s">
        <v>0</v>
      </c>
      <c r="Y31" s="23">
        <f t="shared" si="3"/>
        <v>1</v>
      </c>
      <c r="Z31" s="13">
        <v>4</v>
      </c>
      <c r="AA31" s="28">
        <f t="shared" si="4"/>
        <v>4</v>
      </c>
      <c r="AB31" s="4">
        <v>3</v>
      </c>
      <c r="AC31" s="24">
        <f t="shared" si="5"/>
        <v>11</v>
      </c>
      <c r="AD31" s="120">
        <v>6.03</v>
      </c>
      <c r="AE31" s="9">
        <v>9</v>
      </c>
      <c r="AF31" s="138">
        <v>1949.2619999999999</v>
      </c>
      <c r="AG31" s="137">
        <v>1725.1089999999999</v>
      </c>
      <c r="AH31" s="32">
        <v>1667</v>
      </c>
      <c r="AI31" s="138">
        <v>1.0389999999999999</v>
      </c>
      <c r="AJ31" s="138">
        <v>5.8999999999999997E-2</v>
      </c>
      <c r="AK31" s="137">
        <v>14.58</v>
      </c>
      <c r="AL31" s="137">
        <v>1.53</v>
      </c>
      <c r="AM31" s="137">
        <v>31.74</v>
      </c>
      <c r="AN31" s="137">
        <v>2.5499999999999998</v>
      </c>
      <c r="AO31" s="137">
        <v>21.8</v>
      </c>
      <c r="AP31" s="137">
        <v>1.29</v>
      </c>
      <c r="AQ31" s="137">
        <v>31.95</v>
      </c>
      <c r="AR31" s="137">
        <v>1.54</v>
      </c>
      <c r="AS31" s="137">
        <v>-73.596000000000004</v>
      </c>
      <c r="AT31" s="137">
        <v>4.8819999999999997</v>
      </c>
      <c r="AU31" s="137">
        <v>27.219000000000001</v>
      </c>
      <c r="AV31" s="137">
        <v>2.629</v>
      </c>
      <c r="AW31" s="137">
        <v>57.841999999999999</v>
      </c>
      <c r="AX31" s="137">
        <v>3.0230000000000001</v>
      </c>
      <c r="AY31" s="138">
        <v>1.35</v>
      </c>
      <c r="AZ31" s="138">
        <v>0.129</v>
      </c>
      <c r="BA31" s="138">
        <v>1.1890000000000001</v>
      </c>
      <c r="BB31" s="138">
        <v>0.19</v>
      </c>
      <c r="BC31" s="138">
        <v>1.391</v>
      </c>
      <c r="BD31" s="138">
        <v>9.9000000000000005E-2</v>
      </c>
      <c r="BE31" s="138">
        <v>1.214</v>
      </c>
      <c r="BF31" s="138">
        <v>0.19</v>
      </c>
      <c r="BG31" s="138">
        <v>0.499</v>
      </c>
      <c r="BH31" s="138">
        <v>0.14499999999999999</v>
      </c>
    </row>
    <row r="32" spans="1:60" x14ac:dyDescent="0.2">
      <c r="A32" s="21">
        <v>29</v>
      </c>
      <c r="B32" s="21" t="s">
        <v>133</v>
      </c>
      <c r="C32" s="44"/>
      <c r="D32" s="140">
        <v>44470</v>
      </c>
      <c r="E32" s="4" t="s">
        <v>0</v>
      </c>
      <c r="F32" s="109" t="s">
        <v>62</v>
      </c>
      <c r="G32" s="109" t="s">
        <v>11</v>
      </c>
      <c r="H32" s="17" t="s">
        <v>2</v>
      </c>
      <c r="I32" s="75" t="s">
        <v>82</v>
      </c>
      <c r="J32" s="4" t="s">
        <v>279</v>
      </c>
      <c r="K32" s="4" t="s">
        <v>5</v>
      </c>
      <c r="L32" s="20" t="s">
        <v>0</v>
      </c>
      <c r="M32" s="127">
        <v>76</v>
      </c>
      <c r="N32" s="120">
        <v>1.73</v>
      </c>
      <c r="O32" s="31">
        <f t="shared" si="0"/>
        <v>25.393431120318084</v>
      </c>
      <c r="P32" s="17">
        <v>1</v>
      </c>
      <c r="Q32" s="134">
        <v>2.29</v>
      </c>
      <c r="R32" s="27">
        <f t="shared" si="1"/>
        <v>1.7467248908296944</v>
      </c>
      <c r="S32" s="2" t="s">
        <v>0</v>
      </c>
      <c r="T32" s="68" t="s">
        <v>0</v>
      </c>
      <c r="U32" s="23" t="str">
        <f t="shared" si="2"/>
        <v>NO</v>
      </c>
      <c r="V32" s="127">
        <v>24</v>
      </c>
      <c r="W32" s="23" t="str">
        <f t="shared" si="6"/>
        <v>NO</v>
      </c>
      <c r="X32" s="68" t="s">
        <v>0</v>
      </c>
      <c r="Y32" s="23">
        <f t="shared" si="3"/>
        <v>0</v>
      </c>
      <c r="Z32" s="13">
        <v>4</v>
      </c>
      <c r="AA32" s="28">
        <f t="shared" si="4"/>
        <v>4</v>
      </c>
      <c r="AB32" s="4">
        <v>2</v>
      </c>
      <c r="AC32" s="24">
        <f t="shared" si="5"/>
        <v>10</v>
      </c>
      <c r="AD32" s="120">
        <v>6.48</v>
      </c>
      <c r="AE32" s="9">
        <v>7</v>
      </c>
      <c r="AF32" s="138">
        <v>2273.5410000000002</v>
      </c>
      <c r="AG32" s="137">
        <v>1661.0350000000001</v>
      </c>
      <c r="AH32" s="32">
        <v>1516</v>
      </c>
      <c r="AI32" s="138">
        <v>1.109</v>
      </c>
      <c r="AJ32" s="138">
        <v>5.1999999999999998E-2</v>
      </c>
      <c r="AK32" s="137">
        <v>15.8</v>
      </c>
      <c r="AL32" s="137">
        <v>1.64</v>
      </c>
      <c r="AM32" s="137">
        <v>32.049999999999997</v>
      </c>
      <c r="AN32" s="137">
        <v>2.38</v>
      </c>
      <c r="AO32" s="137">
        <v>20.29</v>
      </c>
      <c r="AP32" s="137">
        <v>1.25</v>
      </c>
      <c r="AQ32" s="137">
        <v>31.85</v>
      </c>
      <c r="AR32" s="137">
        <v>1.71</v>
      </c>
      <c r="AS32" s="137">
        <v>-79.411000000000001</v>
      </c>
      <c r="AT32" s="137">
        <v>5.7789999999999999</v>
      </c>
      <c r="AU32" s="137">
        <v>28.355</v>
      </c>
      <c r="AV32" s="137">
        <v>2.9529999999999998</v>
      </c>
      <c r="AW32" s="137">
        <v>54.112000000000002</v>
      </c>
      <c r="AX32" s="137">
        <v>2.6349999999999998</v>
      </c>
      <c r="AY32" s="138">
        <v>1.524</v>
      </c>
      <c r="AZ32" s="138">
        <v>0.13200000000000001</v>
      </c>
      <c r="BA32" s="138">
        <v>1.53</v>
      </c>
      <c r="BB32" s="138">
        <v>0.13800000000000001</v>
      </c>
      <c r="BC32" s="138">
        <v>1.677</v>
      </c>
      <c r="BD32" s="138">
        <v>0.13300000000000001</v>
      </c>
      <c r="BE32" s="138">
        <v>1.5620000000000001</v>
      </c>
      <c r="BF32" s="138">
        <v>0.14599999999999999</v>
      </c>
      <c r="BG32" s="138">
        <v>0.32800000000000001</v>
      </c>
      <c r="BH32" s="138">
        <v>0.10199999999999999</v>
      </c>
    </row>
    <row r="33" spans="1:60" x14ac:dyDescent="0.2">
      <c r="A33" s="21">
        <v>30</v>
      </c>
      <c r="B33" s="21" t="s">
        <v>134</v>
      </c>
      <c r="C33" s="44"/>
      <c r="D33" s="140">
        <v>44470</v>
      </c>
      <c r="E33" s="4" t="s">
        <v>0</v>
      </c>
      <c r="F33" s="109" t="s">
        <v>62</v>
      </c>
      <c r="G33" s="111" t="s">
        <v>1</v>
      </c>
      <c r="H33" s="1" t="s">
        <v>80</v>
      </c>
      <c r="I33" s="75" t="s">
        <v>83</v>
      </c>
      <c r="J33" s="1" t="s">
        <v>280</v>
      </c>
      <c r="K33" s="1" t="s">
        <v>3</v>
      </c>
      <c r="L33" s="20" t="s">
        <v>0</v>
      </c>
      <c r="M33" s="125">
        <v>58</v>
      </c>
      <c r="N33" s="118">
        <v>1.45</v>
      </c>
      <c r="O33" s="31">
        <f t="shared" si="0"/>
        <v>27.586206896551722</v>
      </c>
      <c r="P33" s="1">
        <v>1</v>
      </c>
      <c r="Q33" s="132">
        <v>4</v>
      </c>
      <c r="R33" s="27">
        <f t="shared" si="1"/>
        <v>1</v>
      </c>
      <c r="S33" s="2" t="s">
        <v>0</v>
      </c>
      <c r="T33" s="68" t="s">
        <v>0</v>
      </c>
      <c r="U33" s="23" t="str">
        <f t="shared" si="2"/>
        <v>NO</v>
      </c>
      <c r="V33" s="125">
        <v>14</v>
      </c>
      <c r="W33" s="23" t="str">
        <f t="shared" si="6"/>
        <v>NO</v>
      </c>
      <c r="X33" s="68" t="s">
        <v>0</v>
      </c>
      <c r="Y33" s="23">
        <f t="shared" si="3"/>
        <v>0</v>
      </c>
      <c r="Z33" s="11">
        <v>4</v>
      </c>
      <c r="AA33" s="28">
        <f t="shared" si="4"/>
        <v>4</v>
      </c>
      <c r="AB33" s="1">
        <v>4</v>
      </c>
      <c r="AC33" s="24">
        <f t="shared" si="5"/>
        <v>12</v>
      </c>
      <c r="AD33" s="118">
        <v>10.02</v>
      </c>
      <c r="AE33" s="6">
        <v>7</v>
      </c>
      <c r="AF33" s="138">
        <v>1272.3520000000001</v>
      </c>
      <c r="AG33" s="137">
        <v>1208.1579999999999</v>
      </c>
      <c r="AH33" s="32">
        <v>1128</v>
      </c>
      <c r="AI33" s="138">
        <v>1.0860000000000001</v>
      </c>
      <c r="AJ33" s="138">
        <v>5.0999999999999997E-2</v>
      </c>
      <c r="AK33" s="137">
        <v>14.72</v>
      </c>
      <c r="AL33" s="137">
        <v>1.38</v>
      </c>
      <c r="AM33" s="137">
        <v>34.56</v>
      </c>
      <c r="AN33" s="137">
        <v>2.75</v>
      </c>
      <c r="AO33" s="137">
        <v>20.48</v>
      </c>
      <c r="AP33" s="137">
        <v>2.1800000000000002</v>
      </c>
      <c r="AQ33" s="137">
        <v>30.02</v>
      </c>
      <c r="AR33" s="137">
        <v>2.1800000000000002</v>
      </c>
      <c r="AS33" s="137">
        <v>-57.545000000000002</v>
      </c>
      <c r="AT33" s="137">
        <v>4.7050000000000001</v>
      </c>
      <c r="AU33" s="137">
        <v>29.835000000000001</v>
      </c>
      <c r="AV33" s="137">
        <v>4.1040000000000001</v>
      </c>
      <c r="AW33" s="137">
        <v>55.25</v>
      </c>
      <c r="AX33" s="137">
        <v>2.7469999999999999</v>
      </c>
      <c r="AY33" s="138">
        <v>1.1359999999999999</v>
      </c>
      <c r="AZ33" s="138">
        <v>0.111</v>
      </c>
      <c r="BA33" s="138">
        <v>1.149</v>
      </c>
      <c r="BB33" s="138">
        <v>0.11</v>
      </c>
      <c r="BC33" s="138">
        <v>1.2250000000000001</v>
      </c>
      <c r="BD33" s="138">
        <v>0.115</v>
      </c>
      <c r="BE33" s="138">
        <v>1.165</v>
      </c>
      <c r="BF33" s="138">
        <v>0.113</v>
      </c>
      <c r="BG33" s="138">
        <v>0.17599999999999999</v>
      </c>
      <c r="BH33" s="138">
        <v>5.6000000000000001E-2</v>
      </c>
    </row>
    <row r="34" spans="1:60" x14ac:dyDescent="0.2">
      <c r="A34" s="21">
        <v>31</v>
      </c>
      <c r="B34" s="21" t="s">
        <v>135</v>
      </c>
      <c r="C34" s="44"/>
      <c r="D34" s="140">
        <v>44470</v>
      </c>
      <c r="E34" s="4" t="s">
        <v>0</v>
      </c>
      <c r="F34" s="109" t="s">
        <v>62</v>
      </c>
      <c r="G34" s="109" t="s">
        <v>11</v>
      </c>
      <c r="H34" s="17" t="s">
        <v>2</v>
      </c>
      <c r="I34" s="75" t="s">
        <v>82</v>
      </c>
      <c r="J34" s="4" t="s">
        <v>280</v>
      </c>
      <c r="K34" s="4" t="s">
        <v>5</v>
      </c>
      <c r="L34" s="20" t="s">
        <v>0</v>
      </c>
      <c r="M34" s="127">
        <v>73.5</v>
      </c>
      <c r="N34" s="120">
        <v>1.72</v>
      </c>
      <c r="O34" s="31">
        <f t="shared" si="0"/>
        <v>24.844510546241214</v>
      </c>
      <c r="P34" s="1">
        <v>1</v>
      </c>
      <c r="Q34" s="134">
        <v>2.63</v>
      </c>
      <c r="R34" s="27">
        <f t="shared" si="1"/>
        <v>1.5209125475285172</v>
      </c>
      <c r="S34" s="2" t="s">
        <v>0</v>
      </c>
      <c r="T34" s="68" t="s">
        <v>0</v>
      </c>
      <c r="U34" s="23" t="str">
        <f t="shared" si="2"/>
        <v>NO</v>
      </c>
      <c r="V34" s="127">
        <v>30</v>
      </c>
      <c r="W34" s="23" t="str">
        <f t="shared" si="6"/>
        <v>NO</v>
      </c>
      <c r="X34" s="68" t="s">
        <v>0</v>
      </c>
      <c r="Y34" s="23">
        <f t="shared" si="3"/>
        <v>0</v>
      </c>
      <c r="Z34" s="13">
        <v>4</v>
      </c>
      <c r="AA34" s="28">
        <f t="shared" si="4"/>
        <v>4</v>
      </c>
      <c r="AB34" s="4">
        <v>4</v>
      </c>
      <c r="AC34" s="24">
        <f t="shared" si="5"/>
        <v>12</v>
      </c>
      <c r="AD34" s="120">
        <v>8.44</v>
      </c>
      <c r="AE34" s="9">
        <v>7</v>
      </c>
      <c r="AF34" s="138">
        <v>2684.817</v>
      </c>
      <c r="AG34" s="137">
        <v>1827.5930000000001</v>
      </c>
      <c r="AH34" s="32">
        <v>1925</v>
      </c>
      <c r="AI34" s="138">
        <v>1.0269999999999999</v>
      </c>
      <c r="AJ34" s="138">
        <v>8.1000000000000003E-2</v>
      </c>
      <c r="AK34" s="137">
        <v>13.41</v>
      </c>
      <c r="AL34" s="137">
        <v>1.79</v>
      </c>
      <c r="AM34" s="137">
        <v>31.7</v>
      </c>
      <c r="AN34" s="137">
        <v>3.37</v>
      </c>
      <c r="AO34" s="137">
        <v>20.97</v>
      </c>
      <c r="AP34" s="137">
        <v>1.83</v>
      </c>
      <c r="AQ34" s="137">
        <v>33.53</v>
      </c>
      <c r="AR34" s="137">
        <v>2.0099999999999998</v>
      </c>
      <c r="AS34" s="137">
        <v>-73.728999999999999</v>
      </c>
      <c r="AT34" s="137">
        <v>6.3150000000000004</v>
      </c>
      <c r="AU34" s="137">
        <v>24.074000000000002</v>
      </c>
      <c r="AV34" s="137">
        <v>3.9</v>
      </c>
      <c r="AW34" s="137">
        <v>57.353000000000002</v>
      </c>
      <c r="AX34" s="137">
        <v>6.5289999999999999</v>
      </c>
      <c r="AY34" s="138">
        <v>1.49</v>
      </c>
      <c r="AZ34" s="138">
        <v>0.16400000000000001</v>
      </c>
      <c r="BA34" s="138">
        <v>1.427</v>
      </c>
      <c r="BB34" s="138">
        <v>0.11600000000000001</v>
      </c>
      <c r="BC34" s="138">
        <v>1.5049999999999999</v>
      </c>
      <c r="BD34" s="138">
        <v>0.12</v>
      </c>
      <c r="BE34" s="138">
        <v>1.4419999999999999</v>
      </c>
      <c r="BF34" s="138">
        <v>0.11799999999999999</v>
      </c>
      <c r="BG34" s="138">
        <v>0.191</v>
      </c>
      <c r="BH34" s="138">
        <v>5.3999999999999999E-2</v>
      </c>
    </row>
    <row r="35" spans="1:60" x14ac:dyDescent="0.2">
      <c r="A35" s="21">
        <v>32</v>
      </c>
      <c r="B35" s="21" t="s">
        <v>136</v>
      </c>
      <c r="C35" s="44"/>
      <c r="D35" s="140">
        <v>44470</v>
      </c>
      <c r="E35" s="4" t="s">
        <v>0</v>
      </c>
      <c r="F35" s="109" t="s">
        <v>62</v>
      </c>
      <c r="G35" s="109">
        <v>877</v>
      </c>
      <c r="H35" s="17" t="s">
        <v>2</v>
      </c>
      <c r="I35" s="75" t="s">
        <v>82</v>
      </c>
      <c r="J35" s="4" t="s">
        <v>283</v>
      </c>
      <c r="K35" s="4" t="s">
        <v>3</v>
      </c>
      <c r="L35" s="20" t="s">
        <v>0</v>
      </c>
      <c r="M35" s="127">
        <v>63.5</v>
      </c>
      <c r="N35" s="120">
        <v>1.6</v>
      </c>
      <c r="O35" s="31">
        <f t="shared" si="0"/>
        <v>24.804687499999996</v>
      </c>
      <c r="P35" s="1">
        <v>1</v>
      </c>
      <c r="Q35" s="134">
        <v>2.95</v>
      </c>
      <c r="R35" s="27">
        <f t="shared" si="1"/>
        <v>1.3559322033898304</v>
      </c>
      <c r="S35" s="2" t="s">
        <v>0</v>
      </c>
      <c r="T35" s="68" t="s">
        <v>0</v>
      </c>
      <c r="U35" s="23" t="str">
        <f t="shared" si="2"/>
        <v>NO</v>
      </c>
      <c r="V35" s="127">
        <v>25</v>
      </c>
      <c r="W35" s="23" t="str">
        <f t="shared" si="6"/>
        <v>NO</v>
      </c>
      <c r="X35" s="68" t="s">
        <v>0</v>
      </c>
      <c r="Y35" s="23">
        <f t="shared" si="3"/>
        <v>0</v>
      </c>
      <c r="Z35" s="13">
        <v>4</v>
      </c>
      <c r="AA35" s="28">
        <f t="shared" si="4"/>
        <v>4</v>
      </c>
      <c r="AB35" s="4">
        <v>4</v>
      </c>
      <c r="AC35" s="24">
        <f t="shared" si="5"/>
        <v>12</v>
      </c>
      <c r="AD35" s="120">
        <v>8.19</v>
      </c>
      <c r="AE35" s="9">
        <v>7</v>
      </c>
      <c r="AF35" s="138">
        <v>2064.0749999999998</v>
      </c>
      <c r="AG35" s="137">
        <v>1829.998</v>
      </c>
      <c r="AH35" s="32">
        <v>1853</v>
      </c>
      <c r="AI35" s="138">
        <v>0.99299999999999999</v>
      </c>
      <c r="AJ35" s="138">
        <v>6.5000000000000002E-2</v>
      </c>
      <c r="AK35" s="137">
        <v>11.65</v>
      </c>
      <c r="AL35" s="137">
        <v>1.54</v>
      </c>
      <c r="AM35" s="137">
        <v>35.64</v>
      </c>
      <c r="AN35" s="137">
        <v>2.78</v>
      </c>
      <c r="AO35" s="137">
        <v>20.28</v>
      </c>
      <c r="AP35" s="137">
        <v>2.1800000000000002</v>
      </c>
      <c r="AQ35" s="137">
        <v>32.369999999999997</v>
      </c>
      <c r="AR35" s="137">
        <v>1.49</v>
      </c>
      <c r="AS35" s="137">
        <v>-61.38</v>
      </c>
      <c r="AT35" s="137">
        <v>5.9480000000000004</v>
      </c>
      <c r="AU35" s="137">
        <v>20.605</v>
      </c>
      <c r="AV35" s="137">
        <v>4.077</v>
      </c>
      <c r="AW35" s="137">
        <v>60.546999999999997</v>
      </c>
      <c r="AX35" s="137">
        <v>3.9809999999999999</v>
      </c>
      <c r="AY35" s="138">
        <v>1.286</v>
      </c>
      <c r="AZ35" s="138">
        <v>0.11899999999999999</v>
      </c>
      <c r="BA35" s="138">
        <v>1.1180000000000001</v>
      </c>
      <c r="BB35" s="138">
        <v>0.127</v>
      </c>
      <c r="BC35" s="138">
        <v>1.2689999999999999</v>
      </c>
      <c r="BD35" s="138">
        <v>6.8000000000000005E-2</v>
      </c>
      <c r="BE35" s="138">
        <v>1.139</v>
      </c>
      <c r="BF35" s="138">
        <v>0.128</v>
      </c>
      <c r="BG35" s="138">
        <v>0.46300000000000002</v>
      </c>
      <c r="BH35" s="138">
        <v>0.128</v>
      </c>
    </row>
    <row r="36" spans="1:60" x14ac:dyDescent="0.2">
      <c r="A36" s="21">
        <v>33</v>
      </c>
      <c r="B36" s="21" t="s">
        <v>137</v>
      </c>
      <c r="C36" s="44"/>
      <c r="D36" s="140">
        <v>44470</v>
      </c>
      <c r="E36" s="4" t="s">
        <v>0</v>
      </c>
      <c r="F36" s="109" t="s">
        <v>62</v>
      </c>
      <c r="G36" s="111" t="s">
        <v>4</v>
      </c>
      <c r="H36" s="17" t="s">
        <v>2</v>
      </c>
      <c r="I36" s="75" t="s">
        <v>82</v>
      </c>
      <c r="J36" s="1" t="s">
        <v>280</v>
      </c>
      <c r="K36" s="1" t="s">
        <v>3</v>
      </c>
      <c r="L36" s="20" t="s">
        <v>0</v>
      </c>
      <c r="M36" s="125">
        <v>74</v>
      </c>
      <c r="N36" s="118">
        <v>1.7</v>
      </c>
      <c r="O36" s="31">
        <f t="shared" si="0"/>
        <v>25.605536332179934</v>
      </c>
      <c r="P36" s="1">
        <v>1</v>
      </c>
      <c r="Q36" s="132">
        <v>3.46</v>
      </c>
      <c r="R36" s="27">
        <f t="shared" si="1"/>
        <v>1.1560693641618498</v>
      </c>
      <c r="S36" s="2" t="s">
        <v>0</v>
      </c>
      <c r="T36" s="68" t="s">
        <v>0</v>
      </c>
      <c r="U36" s="23" t="str">
        <f t="shared" ref="U36:U67" si="7">IF(AND(K36="M",N36&lt;=1.64),IF(R36&lt;0.5,"YES","NO"),"")  &amp;  IF(AND(K36="M",N36&gt;1.64),IF(R36&lt;0.43,"YES","NO"),"") &amp; IF(AND(K36="F",N36&lt;=1.52),IF(R36&lt;0.41,"YES","NO"),"") &amp; IF(AND(K36="F",N36&gt;1.52),IF(R36&lt;0.33,"YES","NO"),"")</f>
        <v>NO</v>
      </c>
      <c r="V36" s="125">
        <v>22</v>
      </c>
      <c r="W36" s="23" t="str">
        <f t="shared" si="6"/>
        <v>NO</v>
      </c>
      <c r="X36" s="68" t="s">
        <v>0</v>
      </c>
      <c r="Y36" s="23">
        <f t="shared" ref="Y36:Y67" si="8">SUM(S36="YES",T36="YES",U36="YES",W36="YES",X36="YES")</f>
        <v>0</v>
      </c>
      <c r="Z36" s="19">
        <v>4</v>
      </c>
      <c r="AA36" s="28">
        <f t="shared" ref="AA36:AA67" si="9">(Q36&lt;&gt;"Incapable")*1+(Q36&lt;8.7)*1+(Q36&lt;6.2)*1+(Q36&lt;4.82)*1</f>
        <v>4</v>
      </c>
      <c r="AB36" s="30">
        <v>4</v>
      </c>
      <c r="AC36" s="24">
        <f t="shared" ref="AC36:AC67" si="10">SUM(Z36:AB36)</f>
        <v>12</v>
      </c>
      <c r="AD36" s="118">
        <v>7.27</v>
      </c>
      <c r="AE36" s="6">
        <v>9</v>
      </c>
      <c r="AF36" s="138">
        <v>1281.2429999999999</v>
      </c>
      <c r="AG36" s="137">
        <v>1350.761</v>
      </c>
      <c r="AH36" s="32">
        <v>1278</v>
      </c>
      <c r="AI36" s="138">
        <v>1.0780000000000001</v>
      </c>
      <c r="AJ36" s="138">
        <v>7.0000000000000007E-2</v>
      </c>
      <c r="AK36" s="137">
        <v>12.77</v>
      </c>
      <c r="AL36" s="137">
        <v>1.58</v>
      </c>
      <c r="AM36" s="137">
        <v>38.9</v>
      </c>
      <c r="AN36" s="137">
        <v>2.69</v>
      </c>
      <c r="AO36" s="137">
        <v>16.34</v>
      </c>
      <c r="AP36" s="137">
        <v>1.23</v>
      </c>
      <c r="AQ36" s="137">
        <v>31.95</v>
      </c>
      <c r="AR36" s="137">
        <v>1.61</v>
      </c>
      <c r="AS36" s="137">
        <v>-75.031000000000006</v>
      </c>
      <c r="AT36" s="137">
        <v>5.2809999999999997</v>
      </c>
      <c r="AU36" s="137">
        <v>17.143000000000001</v>
      </c>
      <c r="AV36" s="137">
        <v>2.2509999999999999</v>
      </c>
      <c r="AW36" s="137">
        <v>55.56</v>
      </c>
      <c r="AX36" s="137">
        <v>3.9180000000000001</v>
      </c>
      <c r="AY36" s="138">
        <v>1.206</v>
      </c>
      <c r="AZ36" s="138">
        <v>0.09</v>
      </c>
      <c r="BA36" s="138">
        <v>1.1020000000000001</v>
      </c>
      <c r="BB36" s="138">
        <v>0.17799999999999999</v>
      </c>
      <c r="BC36" s="138">
        <v>1.288</v>
      </c>
      <c r="BD36" s="138">
        <v>8.4000000000000005E-2</v>
      </c>
      <c r="BE36" s="138">
        <v>1.121</v>
      </c>
      <c r="BF36" s="138">
        <v>0.182</v>
      </c>
      <c r="BG36" s="138">
        <v>0.47699999999999998</v>
      </c>
      <c r="BH36" s="138">
        <v>0.14899999999999999</v>
      </c>
    </row>
    <row r="37" spans="1:60" x14ac:dyDescent="0.2">
      <c r="A37" s="21">
        <v>34</v>
      </c>
      <c r="B37" s="21" t="s">
        <v>138</v>
      </c>
      <c r="C37" s="44"/>
      <c r="D37" s="140">
        <v>44470</v>
      </c>
      <c r="E37" s="4" t="s">
        <v>0</v>
      </c>
      <c r="F37" s="109" t="s">
        <v>62</v>
      </c>
      <c r="G37" s="111">
        <v>877</v>
      </c>
      <c r="H37" s="17" t="s">
        <v>2</v>
      </c>
      <c r="I37" s="75" t="s">
        <v>82</v>
      </c>
      <c r="J37" s="1" t="s">
        <v>279</v>
      </c>
      <c r="K37" s="1" t="s">
        <v>5</v>
      </c>
      <c r="L37" s="20" t="s">
        <v>0</v>
      </c>
      <c r="M37" s="125">
        <v>58</v>
      </c>
      <c r="N37" s="118">
        <v>1.7</v>
      </c>
      <c r="O37" s="31">
        <f t="shared" ref="O37:O68" si="11">IFERROR(M37/(N37^2),"--")</f>
        <v>20.069204152249139</v>
      </c>
      <c r="P37" s="1">
        <v>1</v>
      </c>
      <c r="Q37" s="132">
        <v>5.68</v>
      </c>
      <c r="R37" s="27">
        <f t="shared" ref="R37:R68" si="12">IFERROR(4/Q37,"--")</f>
        <v>0.70422535211267612</v>
      </c>
      <c r="S37" s="2" t="s">
        <v>0</v>
      </c>
      <c r="T37" s="68" t="s">
        <v>0</v>
      </c>
      <c r="U37" s="23" t="str">
        <f t="shared" si="7"/>
        <v>NO</v>
      </c>
      <c r="V37" s="125">
        <v>22</v>
      </c>
      <c r="W37" s="23" t="str">
        <f t="shared" si="6"/>
        <v>NO</v>
      </c>
      <c r="X37" s="68" t="s">
        <v>0</v>
      </c>
      <c r="Y37" s="23">
        <f t="shared" si="8"/>
        <v>0</v>
      </c>
      <c r="Z37" s="19">
        <v>2</v>
      </c>
      <c r="AA37" s="28">
        <f t="shared" si="9"/>
        <v>3</v>
      </c>
      <c r="AB37" s="30">
        <v>3</v>
      </c>
      <c r="AC37" s="24">
        <f t="shared" si="10"/>
        <v>8</v>
      </c>
      <c r="AD37" s="136">
        <v>12.96</v>
      </c>
      <c r="AE37" s="6">
        <v>7</v>
      </c>
      <c r="AF37" s="138">
        <v>1077.9380000000001</v>
      </c>
      <c r="AG37" s="137">
        <v>1290.547</v>
      </c>
      <c r="AH37" s="32">
        <v>1104</v>
      </c>
      <c r="AI37" s="138">
        <v>1.1919999999999999</v>
      </c>
      <c r="AJ37" s="138">
        <v>4.5999999999999999E-2</v>
      </c>
      <c r="AK37" s="137">
        <v>9.73</v>
      </c>
      <c r="AL37" s="137">
        <v>1.44</v>
      </c>
      <c r="AM37" s="137">
        <v>40.869999999999997</v>
      </c>
      <c r="AN37" s="137">
        <v>2.64</v>
      </c>
      <c r="AO37" s="137">
        <v>17.45</v>
      </c>
      <c r="AP37" s="137">
        <v>1.37</v>
      </c>
      <c r="AQ37" s="137">
        <v>31.91</v>
      </c>
      <c r="AR37" s="137">
        <v>1.51</v>
      </c>
      <c r="AS37" s="137">
        <v>-60.466999999999999</v>
      </c>
      <c r="AT37" s="137">
        <v>4.7910000000000004</v>
      </c>
      <c r="AU37" s="137">
        <v>17.587</v>
      </c>
      <c r="AV37" s="137">
        <v>2.762</v>
      </c>
      <c r="AW37" s="137">
        <v>50.274999999999999</v>
      </c>
      <c r="AX37" s="137">
        <v>2.605</v>
      </c>
      <c r="AY37" s="138">
        <v>1.0109999999999999</v>
      </c>
      <c r="AZ37" s="138">
        <v>7.6999999999999999E-2</v>
      </c>
      <c r="BA37" s="138">
        <v>0.998</v>
      </c>
      <c r="BB37" s="138">
        <v>0.108</v>
      </c>
      <c r="BC37" s="138">
        <v>1.202</v>
      </c>
      <c r="BD37" s="138">
        <v>8.5000000000000006E-2</v>
      </c>
      <c r="BE37" s="138">
        <v>1.0209999999999999</v>
      </c>
      <c r="BF37" s="138">
        <v>0.105</v>
      </c>
      <c r="BG37" s="138">
        <v>0.60299999999999998</v>
      </c>
      <c r="BH37" s="138">
        <v>0.106</v>
      </c>
    </row>
    <row r="38" spans="1:60" x14ac:dyDescent="0.2">
      <c r="A38" s="21">
        <v>35</v>
      </c>
      <c r="B38" s="21" t="s">
        <v>139</v>
      </c>
      <c r="C38" s="44"/>
      <c r="D38" s="140">
        <v>44470</v>
      </c>
      <c r="E38" s="4" t="s">
        <v>0</v>
      </c>
      <c r="F38" s="109" t="s">
        <v>62</v>
      </c>
      <c r="G38" s="111" t="s">
        <v>1</v>
      </c>
      <c r="H38" s="17" t="s">
        <v>2</v>
      </c>
      <c r="I38" s="75" t="s">
        <v>82</v>
      </c>
      <c r="J38" s="1" t="s">
        <v>279</v>
      </c>
      <c r="K38" s="1" t="s">
        <v>3</v>
      </c>
      <c r="L38" s="20" t="s">
        <v>0</v>
      </c>
      <c r="M38" s="125">
        <v>70</v>
      </c>
      <c r="N38" s="118">
        <v>1.57</v>
      </c>
      <c r="O38" s="31">
        <f t="shared" si="11"/>
        <v>28.398718000730252</v>
      </c>
      <c r="P38" s="1">
        <v>1</v>
      </c>
      <c r="Q38" s="132">
        <v>4.92</v>
      </c>
      <c r="R38" s="27">
        <f t="shared" si="12"/>
        <v>0.81300813008130079</v>
      </c>
      <c r="S38" s="2" t="s">
        <v>0</v>
      </c>
      <c r="T38" s="68" t="s">
        <v>0</v>
      </c>
      <c r="U38" s="23" t="str">
        <f t="shared" si="7"/>
        <v>NO</v>
      </c>
      <c r="V38" s="125">
        <v>18</v>
      </c>
      <c r="W38" s="23" t="str">
        <f t="shared" si="6"/>
        <v>NO</v>
      </c>
      <c r="X38" s="68" t="s">
        <v>0</v>
      </c>
      <c r="Y38" s="23">
        <f t="shared" si="8"/>
        <v>0</v>
      </c>
      <c r="Z38" s="19">
        <v>4</v>
      </c>
      <c r="AA38" s="28">
        <f t="shared" si="9"/>
        <v>3</v>
      </c>
      <c r="AB38" s="30">
        <v>3</v>
      </c>
      <c r="AC38" s="24">
        <f t="shared" si="10"/>
        <v>10</v>
      </c>
      <c r="AD38" s="136">
        <v>13.91</v>
      </c>
      <c r="AE38" s="6">
        <v>7</v>
      </c>
      <c r="AF38" s="138">
        <v>777.51599999999996</v>
      </c>
      <c r="AG38" s="137">
        <v>1171.9090000000001</v>
      </c>
      <c r="AH38" s="32">
        <v>800</v>
      </c>
      <c r="AI38" s="138">
        <v>1.4890000000000001</v>
      </c>
      <c r="AJ38" s="138">
        <v>0.13700000000000001</v>
      </c>
      <c r="AK38" s="137">
        <v>10.09</v>
      </c>
      <c r="AL38" s="137">
        <v>1.4</v>
      </c>
      <c r="AM38" s="137">
        <v>44.28</v>
      </c>
      <c r="AN38" s="137">
        <v>3.39</v>
      </c>
      <c r="AO38" s="137">
        <v>17.7</v>
      </c>
      <c r="AP38" s="137">
        <v>1.7</v>
      </c>
      <c r="AQ38" s="137">
        <v>27.77</v>
      </c>
      <c r="AR38" s="137">
        <v>2.17</v>
      </c>
      <c r="AS38" s="137">
        <v>-61.646000000000001</v>
      </c>
      <c r="AT38" s="137">
        <v>5.7229999999999999</v>
      </c>
      <c r="AU38" s="137">
        <v>13.446</v>
      </c>
      <c r="AV38" s="137">
        <v>2.1989999999999998</v>
      </c>
      <c r="AW38" s="137">
        <v>40.444000000000003</v>
      </c>
      <c r="AX38" s="137">
        <v>3.972</v>
      </c>
      <c r="AY38" s="138">
        <v>0.748</v>
      </c>
      <c r="AZ38" s="138">
        <v>0.09</v>
      </c>
      <c r="BA38" s="138">
        <v>0.999</v>
      </c>
      <c r="BB38" s="138">
        <v>0.113</v>
      </c>
      <c r="BC38" s="138">
        <v>1.099</v>
      </c>
      <c r="BD38" s="138">
        <v>8.4000000000000005E-2</v>
      </c>
      <c r="BE38" s="138">
        <v>1.0249999999999999</v>
      </c>
      <c r="BF38" s="138">
        <v>0.112</v>
      </c>
      <c r="BG38" s="138">
        <v>0.25700000000000001</v>
      </c>
      <c r="BH38" s="138">
        <v>7.3999999999999996E-2</v>
      </c>
    </row>
    <row r="39" spans="1:60" x14ac:dyDescent="0.2">
      <c r="A39" s="21">
        <v>36</v>
      </c>
      <c r="B39" s="21" t="s">
        <v>140</v>
      </c>
      <c r="C39" s="44"/>
      <c r="D39" s="140">
        <v>44470</v>
      </c>
      <c r="E39" s="4" t="s">
        <v>0</v>
      </c>
      <c r="F39" s="109" t="s">
        <v>62</v>
      </c>
      <c r="G39" s="111" t="s">
        <v>11</v>
      </c>
      <c r="H39" s="17" t="s">
        <v>2</v>
      </c>
      <c r="I39" s="75" t="s">
        <v>82</v>
      </c>
      <c r="J39" s="1" t="s">
        <v>282</v>
      </c>
      <c r="K39" s="1" t="s">
        <v>5</v>
      </c>
      <c r="L39" s="20" t="s">
        <v>0</v>
      </c>
      <c r="M39" s="125">
        <v>81</v>
      </c>
      <c r="N39" s="118">
        <v>1.8</v>
      </c>
      <c r="O39" s="31">
        <f t="shared" si="11"/>
        <v>25</v>
      </c>
      <c r="P39" s="1">
        <v>5</v>
      </c>
      <c r="Q39" s="132">
        <v>4.3</v>
      </c>
      <c r="R39" s="27">
        <f t="shared" si="12"/>
        <v>0.93023255813953487</v>
      </c>
      <c r="S39" s="2" t="s">
        <v>0</v>
      </c>
      <c r="T39" s="68" t="s">
        <v>0</v>
      </c>
      <c r="U39" s="23" t="str">
        <f t="shared" si="7"/>
        <v>NO</v>
      </c>
      <c r="V39" s="125">
        <v>30</v>
      </c>
      <c r="W39" s="23" t="str">
        <f t="shared" si="6"/>
        <v>NO</v>
      </c>
      <c r="X39" s="68" t="s">
        <v>0</v>
      </c>
      <c r="Y39" s="23">
        <f t="shared" si="8"/>
        <v>0</v>
      </c>
      <c r="Z39" s="19">
        <v>4</v>
      </c>
      <c r="AA39" s="28">
        <f t="shared" si="9"/>
        <v>4</v>
      </c>
      <c r="AB39" s="30">
        <v>1</v>
      </c>
      <c r="AC39" s="24">
        <f t="shared" si="10"/>
        <v>9</v>
      </c>
      <c r="AD39" s="136">
        <v>9</v>
      </c>
      <c r="AE39" s="5">
        <v>7</v>
      </c>
      <c r="AF39" s="138">
        <v>1318.7170000000001</v>
      </c>
      <c r="AG39" s="137">
        <v>1586.4079999999999</v>
      </c>
      <c r="AH39" s="32">
        <v>1343</v>
      </c>
      <c r="AI39" s="138">
        <v>1.1919999999999999</v>
      </c>
      <c r="AJ39" s="138">
        <v>5.2999999999999999E-2</v>
      </c>
      <c r="AK39" s="137">
        <v>14.17</v>
      </c>
      <c r="AL39" s="137">
        <v>1.81</v>
      </c>
      <c r="AM39" s="137">
        <v>37.49</v>
      </c>
      <c r="AN39" s="137">
        <v>2.61</v>
      </c>
      <c r="AO39" s="137">
        <v>16.87</v>
      </c>
      <c r="AP39" s="137">
        <v>1.1000000000000001</v>
      </c>
      <c r="AQ39" s="137">
        <v>31.44</v>
      </c>
      <c r="AR39" s="137">
        <v>1.38</v>
      </c>
      <c r="AS39" s="137">
        <v>-64.388999999999996</v>
      </c>
      <c r="AT39" s="137">
        <v>4.8360000000000003</v>
      </c>
      <c r="AU39" s="137">
        <v>21.184999999999999</v>
      </c>
      <c r="AV39" s="137">
        <v>2.7360000000000002</v>
      </c>
      <c r="AW39" s="137">
        <v>50.323</v>
      </c>
      <c r="AX39" s="137">
        <v>2.7149999999999999</v>
      </c>
      <c r="AY39" s="138">
        <v>1.147</v>
      </c>
      <c r="AZ39" s="138">
        <v>8.5999999999999993E-2</v>
      </c>
      <c r="BA39" s="138">
        <v>1.1359999999999999</v>
      </c>
      <c r="BB39" s="138">
        <v>0.20799999999999999</v>
      </c>
      <c r="BC39" s="138">
        <v>1.3620000000000001</v>
      </c>
      <c r="BD39" s="138">
        <v>9.2999999999999999E-2</v>
      </c>
      <c r="BE39" s="138">
        <v>1.157</v>
      </c>
      <c r="BF39" s="138">
        <v>0.22500000000000001</v>
      </c>
      <c r="BG39" s="138">
        <v>0.46200000000000002</v>
      </c>
      <c r="BH39" s="138">
        <v>0.14599999999999999</v>
      </c>
    </row>
    <row r="40" spans="1:60" x14ac:dyDescent="0.2">
      <c r="A40" s="21">
        <v>37</v>
      </c>
      <c r="B40" s="21" t="s">
        <v>141</v>
      </c>
      <c r="C40" s="44"/>
      <c r="D40" s="140">
        <v>44470</v>
      </c>
      <c r="E40" s="4" t="s">
        <v>0</v>
      </c>
      <c r="F40" s="109" t="s">
        <v>62</v>
      </c>
      <c r="G40" s="111" t="s">
        <v>4</v>
      </c>
      <c r="H40" s="1" t="s">
        <v>80</v>
      </c>
      <c r="I40" s="75" t="s">
        <v>82</v>
      </c>
      <c r="J40" s="1" t="s">
        <v>282</v>
      </c>
      <c r="K40" s="1" t="s">
        <v>3</v>
      </c>
      <c r="L40" s="20" t="s">
        <v>0</v>
      </c>
      <c r="M40" s="125">
        <v>83</v>
      </c>
      <c r="N40" s="118">
        <v>1.53</v>
      </c>
      <c r="O40" s="31">
        <f t="shared" si="11"/>
        <v>35.456448374556793</v>
      </c>
      <c r="P40" s="1">
        <v>1</v>
      </c>
      <c r="Q40" s="132">
        <v>4.5999999999999996</v>
      </c>
      <c r="R40" s="27">
        <f t="shared" si="12"/>
        <v>0.86956521739130443</v>
      </c>
      <c r="S40" s="2" t="s">
        <v>0</v>
      </c>
      <c r="T40" s="68" t="s">
        <v>0</v>
      </c>
      <c r="U40" s="23" t="str">
        <f t="shared" si="7"/>
        <v>NO</v>
      </c>
      <c r="V40" s="125">
        <v>20</v>
      </c>
      <c r="W40" s="23" t="str">
        <f t="shared" si="6"/>
        <v>NO</v>
      </c>
      <c r="X40" s="68" t="s">
        <v>0</v>
      </c>
      <c r="Y40" s="23">
        <f t="shared" si="8"/>
        <v>0</v>
      </c>
      <c r="Z40" s="11">
        <v>4</v>
      </c>
      <c r="AA40" s="28">
        <f t="shared" si="9"/>
        <v>4</v>
      </c>
      <c r="AB40" s="1">
        <v>4</v>
      </c>
      <c r="AC40" s="24">
        <f t="shared" si="10"/>
        <v>12</v>
      </c>
      <c r="AD40" s="118">
        <v>11.77</v>
      </c>
      <c r="AE40" s="6">
        <v>7</v>
      </c>
      <c r="AF40" s="138">
        <v>968.99699999999996</v>
      </c>
      <c r="AG40" s="137">
        <v>1049.819</v>
      </c>
      <c r="AH40" s="32">
        <v>1030</v>
      </c>
      <c r="AI40" s="138">
        <v>1.0329999999999999</v>
      </c>
      <c r="AJ40" s="138">
        <v>4.3999999999999997E-2</v>
      </c>
      <c r="AK40" s="137">
        <v>14.4</v>
      </c>
      <c r="AL40" s="137">
        <v>1.49</v>
      </c>
      <c r="AM40" s="137">
        <v>37.380000000000003</v>
      </c>
      <c r="AN40" s="137">
        <v>2.69</v>
      </c>
      <c r="AO40" s="137">
        <v>19.05</v>
      </c>
      <c r="AP40" s="137">
        <v>1.18</v>
      </c>
      <c r="AQ40" s="137">
        <v>29.01</v>
      </c>
      <c r="AR40" s="137">
        <v>1.63</v>
      </c>
      <c r="AS40" s="137">
        <v>-54.841000000000001</v>
      </c>
      <c r="AT40" s="137">
        <v>4.4269999999999996</v>
      </c>
      <c r="AU40" s="137">
        <v>17.638999999999999</v>
      </c>
      <c r="AV40" s="137">
        <v>2.1520000000000001</v>
      </c>
      <c r="AW40" s="137">
        <v>58.058</v>
      </c>
      <c r="AX40" s="137">
        <v>2.8050000000000002</v>
      </c>
      <c r="AY40" s="138">
        <v>1.0189999999999999</v>
      </c>
      <c r="AZ40" s="138">
        <v>8.4000000000000005E-2</v>
      </c>
      <c r="BA40" s="138">
        <v>0.95299999999999996</v>
      </c>
      <c r="BB40" s="138">
        <v>9.2999999999999999E-2</v>
      </c>
      <c r="BC40" s="138">
        <v>1.0469999999999999</v>
      </c>
      <c r="BD40" s="138">
        <v>0.08</v>
      </c>
      <c r="BE40" s="138">
        <v>0.97399999999999998</v>
      </c>
      <c r="BF40" s="138">
        <v>9.2999999999999999E-2</v>
      </c>
      <c r="BG40" s="138">
        <v>0.22700000000000001</v>
      </c>
      <c r="BH40" s="138">
        <v>6.3E-2</v>
      </c>
    </row>
    <row r="41" spans="1:60" x14ac:dyDescent="0.2">
      <c r="A41" s="21">
        <v>38</v>
      </c>
      <c r="B41" s="21" t="s">
        <v>142</v>
      </c>
      <c r="C41" s="44"/>
      <c r="D41" s="140">
        <v>44470</v>
      </c>
      <c r="E41" s="4" t="s">
        <v>0</v>
      </c>
      <c r="F41" s="109" t="s">
        <v>62</v>
      </c>
      <c r="G41" s="109">
        <v>877</v>
      </c>
      <c r="H41" s="4" t="s">
        <v>2</v>
      </c>
      <c r="I41" s="76" t="s">
        <v>82</v>
      </c>
      <c r="J41" s="4" t="s">
        <v>283</v>
      </c>
      <c r="K41" s="4" t="s">
        <v>3</v>
      </c>
      <c r="L41" s="20" t="s">
        <v>0</v>
      </c>
      <c r="M41" s="127">
        <v>90</v>
      </c>
      <c r="N41" s="120">
        <v>1.81</v>
      </c>
      <c r="O41" s="31">
        <f t="shared" si="11"/>
        <v>27.471688898385274</v>
      </c>
      <c r="P41" s="4">
        <v>1</v>
      </c>
      <c r="Q41" s="134">
        <v>3.73</v>
      </c>
      <c r="R41" s="27">
        <f t="shared" si="12"/>
        <v>1.0723860589812333</v>
      </c>
      <c r="S41" s="2" t="s">
        <v>0</v>
      </c>
      <c r="T41" s="68" t="s">
        <v>0</v>
      </c>
      <c r="U41" s="23" t="str">
        <f t="shared" si="7"/>
        <v>NO</v>
      </c>
      <c r="V41" s="127">
        <v>18</v>
      </c>
      <c r="W41" s="23" t="str">
        <f t="shared" si="6"/>
        <v>NO</v>
      </c>
      <c r="X41" s="68" t="s">
        <v>84</v>
      </c>
      <c r="Y41" s="23">
        <f t="shared" si="8"/>
        <v>1</v>
      </c>
      <c r="Z41" s="13">
        <v>4</v>
      </c>
      <c r="AA41" s="28">
        <f t="shared" si="9"/>
        <v>4</v>
      </c>
      <c r="AB41" s="4">
        <v>0</v>
      </c>
      <c r="AC41" s="24">
        <f t="shared" si="10"/>
        <v>8</v>
      </c>
      <c r="AD41" s="120" t="s">
        <v>105</v>
      </c>
      <c r="AE41" s="9">
        <v>7</v>
      </c>
      <c r="AF41" s="138">
        <v>1478.6179999999999</v>
      </c>
      <c r="AG41" s="137">
        <v>1550.5820000000001</v>
      </c>
      <c r="AH41" s="32">
        <v>1167</v>
      </c>
      <c r="AI41" s="138">
        <v>1.341</v>
      </c>
      <c r="AJ41" s="138">
        <v>0.106</v>
      </c>
      <c r="AK41" s="137">
        <v>13.07</v>
      </c>
      <c r="AL41" s="137">
        <v>1.51</v>
      </c>
      <c r="AM41" s="137">
        <v>39.799999999999997</v>
      </c>
      <c r="AN41" s="137">
        <v>3.33</v>
      </c>
      <c r="AO41" s="137">
        <v>19.04</v>
      </c>
      <c r="AP41" s="137">
        <v>1.39</v>
      </c>
      <c r="AQ41" s="137">
        <v>28.04</v>
      </c>
      <c r="AR41" s="137">
        <v>1.7</v>
      </c>
      <c r="AS41" s="137">
        <v>-67.986000000000004</v>
      </c>
      <c r="AT41" s="137">
        <v>4.9809999999999999</v>
      </c>
      <c r="AU41" s="137">
        <v>30.797999999999998</v>
      </c>
      <c r="AV41" s="137">
        <v>4.0090000000000003</v>
      </c>
      <c r="AW41" s="137">
        <v>44.914000000000001</v>
      </c>
      <c r="AX41" s="137">
        <v>3.8159999999999998</v>
      </c>
      <c r="AY41" s="138">
        <v>1.127</v>
      </c>
      <c r="AZ41" s="138">
        <v>0.125</v>
      </c>
      <c r="BA41" s="138">
        <v>1.286</v>
      </c>
      <c r="BB41" s="138">
        <v>0.129</v>
      </c>
      <c r="BC41" s="138">
        <v>1.492</v>
      </c>
      <c r="BD41" s="138">
        <v>0.105</v>
      </c>
      <c r="BE41" s="138">
        <v>1.323</v>
      </c>
      <c r="BF41" s="138">
        <v>0.129</v>
      </c>
      <c r="BG41" s="138">
        <v>0.51</v>
      </c>
      <c r="BH41" s="138">
        <v>0.13500000000000001</v>
      </c>
    </row>
    <row r="42" spans="1:60" x14ac:dyDescent="0.2">
      <c r="A42" s="21">
        <v>39</v>
      </c>
      <c r="B42" s="21" t="s">
        <v>143</v>
      </c>
      <c r="C42" s="44"/>
      <c r="D42" s="140">
        <v>44470</v>
      </c>
      <c r="E42" s="4" t="s">
        <v>0</v>
      </c>
      <c r="F42" s="109" t="s">
        <v>62</v>
      </c>
      <c r="G42" s="109" t="s">
        <v>11</v>
      </c>
      <c r="H42" s="4" t="s">
        <v>2</v>
      </c>
      <c r="I42" s="76" t="s">
        <v>82</v>
      </c>
      <c r="J42" s="4" t="s">
        <v>280</v>
      </c>
      <c r="K42" s="4" t="s">
        <v>3</v>
      </c>
      <c r="L42" s="20" t="s">
        <v>0</v>
      </c>
      <c r="M42" s="127">
        <v>73</v>
      </c>
      <c r="N42" s="120">
        <v>1.8</v>
      </c>
      <c r="O42" s="31">
        <f t="shared" si="11"/>
        <v>22.530864197530864</v>
      </c>
      <c r="P42" s="4">
        <v>1</v>
      </c>
      <c r="Q42" s="134">
        <v>3.68</v>
      </c>
      <c r="R42" s="27">
        <f t="shared" si="12"/>
        <v>1.0869565217391304</v>
      </c>
      <c r="S42" s="2" t="s">
        <v>0</v>
      </c>
      <c r="T42" s="68" t="s">
        <v>0</v>
      </c>
      <c r="U42" s="23" t="str">
        <f t="shared" si="7"/>
        <v>NO</v>
      </c>
      <c r="V42" s="127">
        <v>34</v>
      </c>
      <c r="W42" s="23" t="str">
        <f t="shared" si="6"/>
        <v>NO</v>
      </c>
      <c r="X42" s="68" t="s">
        <v>0</v>
      </c>
      <c r="Y42" s="23">
        <f t="shared" si="8"/>
        <v>0</v>
      </c>
      <c r="Z42" s="13">
        <v>4</v>
      </c>
      <c r="AA42" s="28">
        <f t="shared" si="9"/>
        <v>4</v>
      </c>
      <c r="AB42" s="4">
        <v>4</v>
      </c>
      <c r="AC42" s="24">
        <f t="shared" si="10"/>
        <v>12</v>
      </c>
      <c r="AD42" s="120">
        <v>9.82</v>
      </c>
      <c r="AE42" s="9">
        <v>7</v>
      </c>
      <c r="AF42" s="138">
        <v>2182.1729999999998</v>
      </c>
      <c r="AG42" s="137">
        <v>2034.412</v>
      </c>
      <c r="AH42" s="32">
        <v>1851</v>
      </c>
      <c r="AI42" s="138">
        <v>1.119</v>
      </c>
      <c r="AJ42" s="138">
        <v>7.9000000000000001E-2</v>
      </c>
      <c r="AK42" s="137">
        <v>10.83</v>
      </c>
      <c r="AL42" s="137">
        <v>1.57</v>
      </c>
      <c r="AM42" s="137">
        <v>37.07</v>
      </c>
      <c r="AN42" s="137">
        <v>3.35</v>
      </c>
      <c r="AO42" s="137">
        <v>20.59</v>
      </c>
      <c r="AP42" s="137">
        <v>1.93</v>
      </c>
      <c r="AQ42" s="137">
        <v>31.37</v>
      </c>
      <c r="AR42" s="137">
        <v>2.09</v>
      </c>
      <c r="AS42" s="137">
        <v>-70.409000000000006</v>
      </c>
      <c r="AT42" s="137">
        <v>5.6970000000000001</v>
      </c>
      <c r="AU42" s="137">
        <v>16.788</v>
      </c>
      <c r="AV42" s="137">
        <v>2.9279999999999999</v>
      </c>
      <c r="AW42" s="137">
        <v>53.625999999999998</v>
      </c>
      <c r="AX42" s="137">
        <v>4.0309999999999997</v>
      </c>
      <c r="AY42" s="138">
        <v>1.165</v>
      </c>
      <c r="AZ42" s="138">
        <v>0.107</v>
      </c>
      <c r="BA42" s="138">
        <v>1.204</v>
      </c>
      <c r="BB42" s="138">
        <v>8.5999999999999993E-2</v>
      </c>
      <c r="BC42" s="138">
        <v>1.2909999999999999</v>
      </c>
      <c r="BD42" s="138">
        <v>8.6999999999999994E-2</v>
      </c>
      <c r="BE42" s="138">
        <v>1.22</v>
      </c>
      <c r="BF42" s="138">
        <v>8.7999999999999995E-2</v>
      </c>
      <c r="BG42" s="138">
        <v>0.21099999999999999</v>
      </c>
      <c r="BH42" s="138">
        <v>5.7000000000000002E-2</v>
      </c>
    </row>
    <row r="43" spans="1:60" x14ac:dyDescent="0.2">
      <c r="A43" s="21">
        <v>40</v>
      </c>
      <c r="B43" s="21" t="s">
        <v>144</v>
      </c>
      <c r="C43" s="44"/>
      <c r="D43" s="140">
        <v>44470</v>
      </c>
      <c r="E43" s="4" t="s">
        <v>0</v>
      </c>
      <c r="F43" s="109" t="s">
        <v>62</v>
      </c>
      <c r="G43" s="109" t="s">
        <v>8</v>
      </c>
      <c r="H43" s="4" t="s">
        <v>2</v>
      </c>
      <c r="I43" s="76" t="s">
        <v>82</v>
      </c>
      <c r="J43" s="4" t="s">
        <v>283</v>
      </c>
      <c r="K43" s="4" t="s">
        <v>3</v>
      </c>
      <c r="L43" s="20" t="s">
        <v>0</v>
      </c>
      <c r="M43" s="127">
        <v>66</v>
      </c>
      <c r="N43" s="120">
        <v>1.73</v>
      </c>
      <c r="O43" s="31">
        <f t="shared" si="11"/>
        <v>22.052190183434128</v>
      </c>
      <c r="P43" s="4">
        <v>1</v>
      </c>
      <c r="Q43" s="134">
        <v>2.74</v>
      </c>
      <c r="R43" s="27">
        <f t="shared" si="12"/>
        <v>1.4598540145985401</v>
      </c>
      <c r="S43" s="2" t="s">
        <v>0</v>
      </c>
      <c r="T43" s="68" t="s">
        <v>0</v>
      </c>
      <c r="U43" s="23" t="str">
        <f t="shared" si="7"/>
        <v>NO</v>
      </c>
      <c r="V43" s="127">
        <v>29</v>
      </c>
      <c r="W43" s="23" t="str">
        <f t="shared" si="6"/>
        <v>NO</v>
      </c>
      <c r="X43" s="68" t="s">
        <v>0</v>
      </c>
      <c r="Y43" s="23">
        <f t="shared" si="8"/>
        <v>0</v>
      </c>
      <c r="Z43" s="13">
        <v>4</v>
      </c>
      <c r="AA43" s="28">
        <f t="shared" si="9"/>
        <v>4</v>
      </c>
      <c r="AB43" s="4">
        <v>1</v>
      </c>
      <c r="AC43" s="24">
        <f t="shared" si="10"/>
        <v>9</v>
      </c>
      <c r="AD43" s="120">
        <v>8.86</v>
      </c>
      <c r="AE43" s="9">
        <v>7</v>
      </c>
      <c r="AF43" s="138">
        <v>2571.6640000000002</v>
      </c>
      <c r="AG43" s="137">
        <v>2020.539</v>
      </c>
      <c r="AH43" s="32">
        <v>1907</v>
      </c>
      <c r="AI43" s="138">
        <v>1.071</v>
      </c>
      <c r="AJ43" s="138">
        <v>5.8999999999999997E-2</v>
      </c>
      <c r="AK43" s="137">
        <v>13.12</v>
      </c>
      <c r="AL43" s="137">
        <v>1.77</v>
      </c>
      <c r="AM43" s="137">
        <v>32.46</v>
      </c>
      <c r="AN43" s="137">
        <v>3.24</v>
      </c>
      <c r="AO43" s="137">
        <v>21.43</v>
      </c>
      <c r="AP43" s="137">
        <v>2.0499999999999998</v>
      </c>
      <c r="AQ43" s="137">
        <v>32.94</v>
      </c>
      <c r="AR43" s="137">
        <v>1.74</v>
      </c>
      <c r="AS43" s="137">
        <v>-80.861000000000004</v>
      </c>
      <c r="AT43" s="137">
        <v>6.3129999999999997</v>
      </c>
      <c r="AU43" s="137">
        <v>22.584</v>
      </c>
      <c r="AV43" s="137">
        <v>3.7410000000000001</v>
      </c>
      <c r="AW43" s="137">
        <v>56.052999999999997</v>
      </c>
      <c r="AX43" s="137">
        <v>3.157</v>
      </c>
      <c r="AY43" s="138">
        <v>1.37</v>
      </c>
      <c r="AZ43" s="138">
        <v>0.13300000000000001</v>
      </c>
      <c r="BA43" s="138">
        <v>1.365</v>
      </c>
      <c r="BB43" s="138">
        <v>0.11700000000000001</v>
      </c>
      <c r="BC43" s="138">
        <v>1.456</v>
      </c>
      <c r="BD43" s="138">
        <v>0.11700000000000001</v>
      </c>
      <c r="BE43" s="138">
        <v>1.3859999999999999</v>
      </c>
      <c r="BF43" s="138">
        <v>0.114</v>
      </c>
      <c r="BG43" s="138">
        <v>0.18</v>
      </c>
      <c r="BH43" s="138">
        <v>5.1999999999999998E-2</v>
      </c>
    </row>
    <row r="44" spans="1:60" x14ac:dyDescent="0.2">
      <c r="A44" s="21">
        <v>41</v>
      </c>
      <c r="B44" s="21" t="s">
        <v>145</v>
      </c>
      <c r="C44" s="44"/>
      <c r="D44" s="140">
        <v>44470</v>
      </c>
      <c r="E44" s="4" t="s">
        <v>0</v>
      </c>
      <c r="F44" s="109" t="s">
        <v>62</v>
      </c>
      <c r="G44" s="109" t="s">
        <v>4</v>
      </c>
      <c r="H44" s="4" t="s">
        <v>2</v>
      </c>
      <c r="I44" s="76" t="s">
        <v>82</v>
      </c>
      <c r="J44" s="4" t="s">
        <v>280</v>
      </c>
      <c r="K44" s="4" t="s">
        <v>3</v>
      </c>
      <c r="L44" s="20" t="s">
        <v>0</v>
      </c>
      <c r="M44" s="127">
        <v>54</v>
      </c>
      <c r="N44" s="120">
        <v>1.6</v>
      </c>
      <c r="O44" s="31">
        <f t="shared" si="11"/>
        <v>21.093749999999996</v>
      </c>
      <c r="P44" s="4">
        <v>1</v>
      </c>
      <c r="Q44" s="134">
        <v>3.34</v>
      </c>
      <c r="R44" s="27">
        <f t="shared" si="12"/>
        <v>1.1976047904191618</v>
      </c>
      <c r="S44" s="2" t="s">
        <v>0</v>
      </c>
      <c r="T44" s="68" t="s">
        <v>0</v>
      </c>
      <c r="U44" s="23" t="str">
        <f t="shared" si="7"/>
        <v>NO</v>
      </c>
      <c r="V44" s="127">
        <v>25</v>
      </c>
      <c r="W44" s="23" t="str">
        <f t="shared" si="6"/>
        <v>NO</v>
      </c>
      <c r="X44" s="68" t="s">
        <v>0</v>
      </c>
      <c r="Y44" s="23">
        <f t="shared" si="8"/>
        <v>0</v>
      </c>
      <c r="Z44" s="13">
        <v>2</v>
      </c>
      <c r="AA44" s="28">
        <f t="shared" si="9"/>
        <v>4</v>
      </c>
      <c r="AB44" s="4">
        <v>3</v>
      </c>
      <c r="AC44" s="24">
        <f t="shared" si="10"/>
        <v>9</v>
      </c>
      <c r="AD44" s="120">
        <v>7.41</v>
      </c>
      <c r="AE44" s="9">
        <v>7</v>
      </c>
      <c r="AF44" s="138">
        <v>2144.9699999999998</v>
      </c>
      <c r="AG44" s="137">
        <v>2011.547</v>
      </c>
      <c r="AH44" s="32">
        <v>1783</v>
      </c>
      <c r="AI44" s="138">
        <v>1.1419999999999999</v>
      </c>
      <c r="AJ44" s="138">
        <v>6.8000000000000005E-2</v>
      </c>
      <c r="AK44" s="137">
        <v>15.01</v>
      </c>
      <c r="AL44" s="137">
        <v>1.62</v>
      </c>
      <c r="AM44" s="137">
        <v>32.270000000000003</v>
      </c>
      <c r="AN44" s="137">
        <v>2.4500000000000002</v>
      </c>
      <c r="AO44" s="137">
        <v>19.39</v>
      </c>
      <c r="AP44" s="137">
        <v>1.57</v>
      </c>
      <c r="AQ44" s="137">
        <v>33.15</v>
      </c>
      <c r="AR44" s="137">
        <v>1.76</v>
      </c>
      <c r="AS44" s="137">
        <v>-61.756999999999998</v>
      </c>
      <c r="AT44" s="137">
        <v>4.875</v>
      </c>
      <c r="AU44" s="137">
        <v>21.707999999999998</v>
      </c>
      <c r="AV44" s="137">
        <v>3.18</v>
      </c>
      <c r="AW44" s="137">
        <v>52.622999999999998</v>
      </c>
      <c r="AX44" s="137">
        <v>3.2490000000000001</v>
      </c>
      <c r="AY44" s="138">
        <v>1.1739999999999999</v>
      </c>
      <c r="AZ44" s="138">
        <v>0.1</v>
      </c>
      <c r="BA44" s="138">
        <v>1.2190000000000001</v>
      </c>
      <c r="BB44" s="138">
        <v>0.127</v>
      </c>
      <c r="BC44" s="138">
        <v>1.329</v>
      </c>
      <c r="BD44" s="138">
        <v>8.4000000000000005E-2</v>
      </c>
      <c r="BE44" s="138">
        <v>1.236</v>
      </c>
      <c r="BF44" s="138">
        <v>0.123</v>
      </c>
      <c r="BG44" s="138">
        <v>0.16700000000000001</v>
      </c>
      <c r="BH44" s="138">
        <v>0.05</v>
      </c>
    </row>
    <row r="45" spans="1:60" x14ac:dyDescent="0.2">
      <c r="A45" s="21">
        <v>42</v>
      </c>
      <c r="B45" s="21" t="s">
        <v>146</v>
      </c>
      <c r="C45" s="44"/>
      <c r="D45" s="140">
        <v>44470</v>
      </c>
      <c r="E45" s="4" t="s">
        <v>0</v>
      </c>
      <c r="F45" s="109" t="s">
        <v>62</v>
      </c>
      <c r="G45" s="111" t="s">
        <v>8</v>
      </c>
      <c r="H45" s="1" t="s">
        <v>2</v>
      </c>
      <c r="I45" s="75" t="s">
        <v>82</v>
      </c>
      <c r="J45" s="1" t="s">
        <v>280</v>
      </c>
      <c r="K45" s="1" t="s">
        <v>3</v>
      </c>
      <c r="L45" s="20" t="s">
        <v>0</v>
      </c>
      <c r="M45" s="125">
        <v>66</v>
      </c>
      <c r="N45" s="118">
        <v>1.68</v>
      </c>
      <c r="O45" s="31">
        <f t="shared" si="11"/>
        <v>23.384353741496604</v>
      </c>
      <c r="P45" s="1">
        <v>1</v>
      </c>
      <c r="Q45" s="132">
        <v>4.0199999999999996</v>
      </c>
      <c r="R45" s="27">
        <f t="shared" si="12"/>
        <v>0.99502487562189068</v>
      </c>
      <c r="S45" s="2" t="s">
        <v>0</v>
      </c>
      <c r="T45" s="68" t="s">
        <v>0</v>
      </c>
      <c r="U45" s="23" t="str">
        <f t="shared" si="7"/>
        <v>NO</v>
      </c>
      <c r="V45" s="125">
        <v>16</v>
      </c>
      <c r="W45" s="23" t="str">
        <f t="shared" si="6"/>
        <v>NO</v>
      </c>
      <c r="X45" s="68" t="s">
        <v>0</v>
      </c>
      <c r="Y45" s="23">
        <f t="shared" si="8"/>
        <v>0</v>
      </c>
      <c r="Z45" s="11">
        <v>4</v>
      </c>
      <c r="AA45" s="28">
        <f t="shared" si="9"/>
        <v>4</v>
      </c>
      <c r="AB45" s="1">
        <v>3</v>
      </c>
      <c r="AC45" s="24">
        <f t="shared" si="10"/>
        <v>11</v>
      </c>
      <c r="AD45" s="118">
        <v>7.42</v>
      </c>
      <c r="AE45" s="6">
        <v>7</v>
      </c>
      <c r="AF45" s="138">
        <v>1707.4749999999999</v>
      </c>
      <c r="AG45" s="137">
        <v>1621.252</v>
      </c>
      <c r="AH45" s="32">
        <v>1594</v>
      </c>
      <c r="AI45" s="138">
        <v>1.0269999999999999</v>
      </c>
      <c r="AJ45" s="138">
        <v>5.0999999999999997E-2</v>
      </c>
      <c r="AK45" s="137">
        <v>13.54</v>
      </c>
      <c r="AL45" s="137">
        <v>1.61</v>
      </c>
      <c r="AM45" s="137">
        <v>30.25</v>
      </c>
      <c r="AN45" s="137">
        <v>2.97</v>
      </c>
      <c r="AO45" s="137">
        <v>23.86</v>
      </c>
      <c r="AP45" s="137">
        <v>1.93</v>
      </c>
      <c r="AQ45" s="137">
        <v>32.270000000000003</v>
      </c>
      <c r="AR45" s="137">
        <v>1.62</v>
      </c>
      <c r="AS45" s="137">
        <v>-73.245999999999995</v>
      </c>
      <c r="AT45" s="137">
        <v>5.17</v>
      </c>
      <c r="AU45" s="137">
        <v>24.538</v>
      </c>
      <c r="AV45" s="137">
        <v>3.0129999999999999</v>
      </c>
      <c r="AW45" s="137">
        <v>58.433</v>
      </c>
      <c r="AX45" s="137">
        <v>3.0539999999999998</v>
      </c>
      <c r="AY45" s="138">
        <v>1.4430000000000001</v>
      </c>
      <c r="AZ45" s="138">
        <v>0.10299999999999999</v>
      </c>
      <c r="BA45" s="138">
        <v>1.3160000000000001</v>
      </c>
      <c r="BB45" s="138">
        <v>0.15</v>
      </c>
      <c r="BC45" s="138">
        <v>1.4710000000000001</v>
      </c>
      <c r="BD45" s="138">
        <v>9.5000000000000001E-2</v>
      </c>
      <c r="BE45" s="138">
        <v>1.35</v>
      </c>
      <c r="BF45" s="138">
        <v>0.157</v>
      </c>
      <c r="BG45" s="138">
        <v>0.45800000000000002</v>
      </c>
      <c r="BH45" s="138">
        <v>0.14299999999999999</v>
      </c>
    </row>
    <row r="46" spans="1:60" x14ac:dyDescent="0.2">
      <c r="A46" s="21">
        <v>43</v>
      </c>
      <c r="B46" s="21" t="s">
        <v>147</v>
      </c>
      <c r="C46" s="44"/>
      <c r="D46" s="140">
        <v>44470</v>
      </c>
      <c r="E46" s="4" t="s">
        <v>0</v>
      </c>
      <c r="F46" s="109" t="s">
        <v>62</v>
      </c>
      <c r="G46" s="111" t="s">
        <v>11</v>
      </c>
      <c r="H46" s="1" t="s">
        <v>2</v>
      </c>
      <c r="I46" s="75" t="s">
        <v>82</v>
      </c>
      <c r="J46" s="1" t="s">
        <v>280</v>
      </c>
      <c r="K46" s="1" t="s">
        <v>5</v>
      </c>
      <c r="L46" s="20" t="s">
        <v>0</v>
      </c>
      <c r="M46" s="125">
        <v>85</v>
      </c>
      <c r="N46" s="118">
        <v>1.82</v>
      </c>
      <c r="O46" s="31">
        <f t="shared" si="11"/>
        <v>25.661152034778407</v>
      </c>
      <c r="P46" s="1">
        <v>1</v>
      </c>
      <c r="Q46" s="132">
        <v>3.17</v>
      </c>
      <c r="R46" s="27">
        <f t="shared" si="12"/>
        <v>1.2618296529968454</v>
      </c>
      <c r="S46" s="2" t="s">
        <v>0</v>
      </c>
      <c r="T46" s="68" t="s">
        <v>0</v>
      </c>
      <c r="U46" s="23" t="str">
        <f t="shared" si="7"/>
        <v>NO</v>
      </c>
      <c r="V46" s="125">
        <v>26.5</v>
      </c>
      <c r="W46" s="23" t="str">
        <f t="shared" si="6"/>
        <v>NO</v>
      </c>
      <c r="X46" s="68" t="s">
        <v>0</v>
      </c>
      <c r="Y46" s="23">
        <f t="shared" si="8"/>
        <v>0</v>
      </c>
      <c r="Z46" s="11">
        <v>4</v>
      </c>
      <c r="AA46" s="28">
        <f t="shared" si="9"/>
        <v>4</v>
      </c>
      <c r="AB46" s="1">
        <v>4</v>
      </c>
      <c r="AC46" s="24">
        <f t="shared" si="10"/>
        <v>12</v>
      </c>
      <c r="AD46" s="118">
        <v>7.88</v>
      </c>
      <c r="AE46" s="6">
        <v>7</v>
      </c>
      <c r="AF46" s="138">
        <v>1913.9190000000001</v>
      </c>
      <c r="AG46" s="137">
        <v>1632.729</v>
      </c>
      <c r="AH46" s="32">
        <v>1597</v>
      </c>
      <c r="AI46" s="138">
        <v>1.032</v>
      </c>
      <c r="AJ46" s="138">
        <v>0.05</v>
      </c>
      <c r="AK46" s="137">
        <v>14.62</v>
      </c>
      <c r="AL46" s="137">
        <v>1.48</v>
      </c>
      <c r="AM46" s="137">
        <v>29.39</v>
      </c>
      <c r="AN46" s="137">
        <v>2.88</v>
      </c>
      <c r="AO46" s="137">
        <v>21.82</v>
      </c>
      <c r="AP46" s="137">
        <v>2.0299999999999998</v>
      </c>
      <c r="AQ46" s="137">
        <v>34.08</v>
      </c>
      <c r="AR46" s="137">
        <v>1.56</v>
      </c>
      <c r="AS46" s="137">
        <v>-73.733999999999995</v>
      </c>
      <c r="AT46" s="137">
        <v>3.839</v>
      </c>
      <c r="AU46" s="137">
        <v>21.103999999999999</v>
      </c>
      <c r="AV46" s="137">
        <v>2.6920000000000002</v>
      </c>
      <c r="AW46" s="137">
        <v>58.198</v>
      </c>
      <c r="AX46" s="137">
        <v>2.9209999999999998</v>
      </c>
      <c r="AY46" s="138">
        <v>1.4379999999999999</v>
      </c>
      <c r="AZ46" s="138">
        <v>9.6000000000000002E-2</v>
      </c>
      <c r="BA46" s="138">
        <v>1.2529999999999999</v>
      </c>
      <c r="BB46" s="138">
        <v>0.16900000000000001</v>
      </c>
      <c r="BC46" s="138">
        <v>1.474</v>
      </c>
      <c r="BD46" s="138">
        <v>8.6999999999999994E-2</v>
      </c>
      <c r="BE46" s="138">
        <v>1.3029999999999999</v>
      </c>
      <c r="BF46" s="138">
        <v>0.17499999999999999</v>
      </c>
      <c r="BG46" s="138">
        <v>0.59299999999999997</v>
      </c>
      <c r="BH46" s="138">
        <v>0.17100000000000001</v>
      </c>
    </row>
    <row r="47" spans="1:60" x14ac:dyDescent="0.2">
      <c r="A47" s="21">
        <v>44</v>
      </c>
      <c r="B47" s="21" t="s">
        <v>148</v>
      </c>
      <c r="C47" s="44"/>
      <c r="D47" s="140">
        <v>44470</v>
      </c>
      <c r="E47" s="4" t="s">
        <v>0</v>
      </c>
      <c r="F47" s="109" t="s">
        <v>62</v>
      </c>
      <c r="G47" s="111">
        <v>877</v>
      </c>
      <c r="H47" s="1" t="s">
        <v>2</v>
      </c>
      <c r="I47" s="75" t="s">
        <v>82</v>
      </c>
      <c r="J47" s="1" t="s">
        <v>284</v>
      </c>
      <c r="K47" s="1" t="s">
        <v>3</v>
      </c>
      <c r="L47" s="20" t="s">
        <v>0</v>
      </c>
      <c r="M47" s="125">
        <v>52</v>
      </c>
      <c r="N47" s="118">
        <v>1.57</v>
      </c>
      <c r="O47" s="31">
        <f t="shared" si="11"/>
        <v>21.096190514828187</v>
      </c>
      <c r="P47" s="1">
        <v>1</v>
      </c>
      <c r="Q47" s="132">
        <v>4.7300000000000004</v>
      </c>
      <c r="R47" s="27">
        <f t="shared" si="12"/>
        <v>0.84566596194503163</v>
      </c>
      <c r="S47" s="2" t="s">
        <v>0</v>
      </c>
      <c r="T47" s="68" t="s">
        <v>0</v>
      </c>
      <c r="U47" s="23" t="str">
        <f t="shared" si="7"/>
        <v>NO</v>
      </c>
      <c r="V47" s="125">
        <v>24</v>
      </c>
      <c r="W47" s="23" t="str">
        <f t="shared" si="6"/>
        <v>NO</v>
      </c>
      <c r="X47" s="68" t="s">
        <v>0</v>
      </c>
      <c r="Y47" s="23">
        <f t="shared" si="8"/>
        <v>0</v>
      </c>
      <c r="Z47" s="11">
        <v>2</v>
      </c>
      <c r="AA47" s="28">
        <f t="shared" si="9"/>
        <v>4</v>
      </c>
      <c r="AB47" s="1">
        <v>0</v>
      </c>
      <c r="AC47" s="24">
        <f t="shared" si="10"/>
        <v>6</v>
      </c>
      <c r="AD47" s="118">
        <v>12.06</v>
      </c>
      <c r="AE47" s="6">
        <v>7</v>
      </c>
      <c r="AF47" s="138">
        <v>1142.2560000000001</v>
      </c>
      <c r="AG47" s="137">
        <v>1334.3009999999999</v>
      </c>
      <c r="AH47" s="32">
        <v>1097</v>
      </c>
      <c r="AI47" s="138">
        <v>1.238</v>
      </c>
      <c r="AJ47" s="138">
        <v>0.11700000000000001</v>
      </c>
      <c r="AK47" s="137">
        <v>12.58</v>
      </c>
      <c r="AL47" s="137">
        <v>1.88</v>
      </c>
      <c r="AM47" s="137">
        <v>38.590000000000003</v>
      </c>
      <c r="AN47" s="137">
        <v>4.45</v>
      </c>
      <c r="AO47" s="137">
        <v>18.96</v>
      </c>
      <c r="AP47" s="137">
        <v>2.33</v>
      </c>
      <c r="AQ47" s="137">
        <v>29.79</v>
      </c>
      <c r="AR47" s="137">
        <v>2.2200000000000002</v>
      </c>
      <c r="AS47" s="137">
        <v>-55.387999999999998</v>
      </c>
      <c r="AT47" s="137">
        <v>7.0330000000000004</v>
      </c>
      <c r="AU47" s="137">
        <v>19.131</v>
      </c>
      <c r="AV47" s="137">
        <v>4.1360000000000001</v>
      </c>
      <c r="AW47" s="137">
        <v>48.631</v>
      </c>
      <c r="AX47" s="137">
        <v>4.5650000000000004</v>
      </c>
      <c r="AY47" s="138">
        <v>0.92600000000000005</v>
      </c>
      <c r="AZ47" s="138">
        <v>0.14699999999999999</v>
      </c>
      <c r="BA47" s="138">
        <v>1.0720000000000001</v>
      </c>
      <c r="BB47" s="138">
        <v>0.125</v>
      </c>
      <c r="BC47" s="138">
        <v>1.121</v>
      </c>
      <c r="BD47" s="138">
        <v>0.126</v>
      </c>
      <c r="BE47" s="138">
        <v>1.0840000000000001</v>
      </c>
      <c r="BF47" s="138">
        <v>0.124</v>
      </c>
      <c r="BG47" s="138">
        <v>9.9000000000000005E-2</v>
      </c>
      <c r="BH47" s="138">
        <v>1.9E-2</v>
      </c>
    </row>
    <row r="48" spans="1:60" x14ac:dyDescent="0.2">
      <c r="A48" s="21">
        <v>45</v>
      </c>
      <c r="B48" s="21" t="s">
        <v>149</v>
      </c>
      <c r="C48" s="44"/>
      <c r="D48" s="140">
        <v>44470</v>
      </c>
      <c r="E48" s="4" t="s">
        <v>0</v>
      </c>
      <c r="F48" s="109" t="s">
        <v>62</v>
      </c>
      <c r="G48" s="111" t="s">
        <v>4</v>
      </c>
      <c r="H48" s="1" t="s">
        <v>2</v>
      </c>
      <c r="I48" s="75" t="s">
        <v>82</v>
      </c>
      <c r="J48" s="1" t="s">
        <v>282</v>
      </c>
      <c r="K48" s="1" t="s">
        <v>3</v>
      </c>
      <c r="L48" s="20" t="s">
        <v>0</v>
      </c>
      <c r="M48" s="125">
        <v>64</v>
      </c>
      <c r="N48" s="118">
        <v>1.5</v>
      </c>
      <c r="O48" s="31">
        <f t="shared" si="11"/>
        <v>28.444444444444443</v>
      </c>
      <c r="P48" s="1">
        <v>2</v>
      </c>
      <c r="Q48" s="132">
        <v>6.49</v>
      </c>
      <c r="R48" s="27">
        <f t="shared" si="12"/>
        <v>0.61633281972265019</v>
      </c>
      <c r="S48" s="2" t="s">
        <v>0</v>
      </c>
      <c r="T48" s="67" t="s">
        <v>84</v>
      </c>
      <c r="U48" s="23" t="str">
        <f t="shared" si="7"/>
        <v>NO</v>
      </c>
      <c r="V48" s="125">
        <v>12</v>
      </c>
      <c r="W48" s="23" t="str">
        <f t="shared" si="6"/>
        <v>NO</v>
      </c>
      <c r="X48" s="67" t="s">
        <v>84</v>
      </c>
      <c r="Y48" s="23">
        <f t="shared" si="8"/>
        <v>2</v>
      </c>
      <c r="Z48" s="11">
        <v>4</v>
      </c>
      <c r="AA48" s="28">
        <f t="shared" si="9"/>
        <v>2</v>
      </c>
      <c r="AB48" s="1">
        <v>3</v>
      </c>
      <c r="AC48" s="24">
        <f t="shared" si="10"/>
        <v>9</v>
      </c>
      <c r="AD48" s="118">
        <v>11.01</v>
      </c>
      <c r="AE48" s="6">
        <v>9</v>
      </c>
      <c r="AF48" s="138">
        <v>1078.337</v>
      </c>
      <c r="AG48" s="137">
        <v>1257.039</v>
      </c>
      <c r="AH48" s="32">
        <v>1096</v>
      </c>
      <c r="AI48" s="138">
        <v>1.17</v>
      </c>
      <c r="AJ48" s="138">
        <v>7.0000000000000007E-2</v>
      </c>
      <c r="AK48" s="137">
        <v>10.96</v>
      </c>
      <c r="AL48" s="137">
        <v>1.62</v>
      </c>
      <c r="AM48" s="137">
        <v>44.9</v>
      </c>
      <c r="AN48" s="137">
        <v>3.64</v>
      </c>
      <c r="AO48" s="137">
        <v>16.82</v>
      </c>
      <c r="AP48" s="137">
        <v>1.59</v>
      </c>
      <c r="AQ48" s="137">
        <v>27.23</v>
      </c>
      <c r="AR48" s="137">
        <v>2.16</v>
      </c>
      <c r="AS48" s="137">
        <v>-59.987000000000002</v>
      </c>
      <c r="AT48" s="137">
        <v>6.4569999999999999</v>
      </c>
      <c r="AU48" s="137">
        <v>16.571000000000002</v>
      </c>
      <c r="AV48" s="137">
        <v>3.0230000000000001</v>
      </c>
      <c r="AW48" s="137">
        <v>51.085000000000001</v>
      </c>
      <c r="AX48" s="137">
        <v>3.8519999999999999</v>
      </c>
      <c r="AY48" s="138">
        <v>0.91500000000000004</v>
      </c>
      <c r="AZ48" s="138">
        <v>0.10199999999999999</v>
      </c>
      <c r="BA48" s="138">
        <v>1.006</v>
      </c>
      <c r="BB48" s="138">
        <v>0.104</v>
      </c>
      <c r="BC48" s="138">
        <v>1.0589999999999999</v>
      </c>
      <c r="BD48" s="138">
        <v>0.108</v>
      </c>
      <c r="BE48" s="138">
        <v>1.0269999999999999</v>
      </c>
      <c r="BF48" s="138">
        <v>0.106</v>
      </c>
      <c r="BG48" s="138">
        <v>8.4000000000000005E-2</v>
      </c>
      <c r="BH48" s="138">
        <v>2.5999999999999999E-2</v>
      </c>
    </row>
    <row r="49" spans="1:60" x14ac:dyDescent="0.2">
      <c r="A49" s="21">
        <v>46</v>
      </c>
      <c r="B49" s="21" t="s">
        <v>150</v>
      </c>
      <c r="C49" s="44"/>
      <c r="D49" s="140">
        <v>44470</v>
      </c>
      <c r="E49" s="4" t="s">
        <v>0</v>
      </c>
      <c r="F49" s="109" t="s">
        <v>62</v>
      </c>
      <c r="G49" s="111" t="s">
        <v>8</v>
      </c>
      <c r="H49" s="1" t="s">
        <v>2</v>
      </c>
      <c r="I49" s="75" t="s">
        <v>82</v>
      </c>
      <c r="J49" s="1" t="s">
        <v>283</v>
      </c>
      <c r="K49" s="1" t="s">
        <v>3</v>
      </c>
      <c r="L49" s="20" t="s">
        <v>0</v>
      </c>
      <c r="M49" s="125">
        <v>55.5</v>
      </c>
      <c r="N49" s="118">
        <v>1.59</v>
      </c>
      <c r="O49" s="31">
        <f t="shared" si="11"/>
        <v>21.953245520351249</v>
      </c>
      <c r="P49" s="1">
        <v>1</v>
      </c>
      <c r="Q49" s="132">
        <v>2.96</v>
      </c>
      <c r="R49" s="27">
        <f t="shared" si="12"/>
        <v>1.3513513513513513</v>
      </c>
      <c r="S49" s="2" t="s">
        <v>0</v>
      </c>
      <c r="T49" s="67" t="s">
        <v>0</v>
      </c>
      <c r="U49" s="23" t="str">
        <f t="shared" si="7"/>
        <v>NO</v>
      </c>
      <c r="V49" s="125">
        <v>26</v>
      </c>
      <c r="W49" s="23" t="str">
        <f t="shared" si="6"/>
        <v>NO</v>
      </c>
      <c r="X49" s="67" t="s">
        <v>0</v>
      </c>
      <c r="Y49" s="23">
        <f t="shared" si="8"/>
        <v>0</v>
      </c>
      <c r="Z49" s="11">
        <v>4</v>
      </c>
      <c r="AA49" s="28">
        <f t="shared" si="9"/>
        <v>4</v>
      </c>
      <c r="AB49" s="1">
        <v>4</v>
      </c>
      <c r="AC49" s="24">
        <f t="shared" si="10"/>
        <v>12</v>
      </c>
      <c r="AD49" s="118">
        <v>5.26</v>
      </c>
      <c r="AE49" s="6">
        <v>7</v>
      </c>
      <c r="AF49" s="138">
        <v>815.072</v>
      </c>
      <c r="AG49" s="137">
        <v>913.71400000000006</v>
      </c>
      <c r="AH49" s="32">
        <v>902</v>
      </c>
      <c r="AI49" s="138">
        <v>1.032</v>
      </c>
      <c r="AJ49" s="138">
        <v>6.2E-2</v>
      </c>
      <c r="AK49" s="137">
        <v>14.53</v>
      </c>
      <c r="AL49" s="137">
        <v>2.29</v>
      </c>
      <c r="AM49" s="137">
        <v>34.33</v>
      </c>
      <c r="AN49" s="137">
        <v>4.93</v>
      </c>
      <c r="AO49" s="137">
        <v>19.239999999999998</v>
      </c>
      <c r="AP49" s="137">
        <v>2.13</v>
      </c>
      <c r="AQ49" s="137">
        <v>30.55</v>
      </c>
      <c r="AR49" s="137">
        <v>2.04</v>
      </c>
      <c r="AS49" s="137">
        <v>-60.301000000000002</v>
      </c>
      <c r="AT49" s="137">
        <v>7.141</v>
      </c>
      <c r="AU49" s="137">
        <v>20.459</v>
      </c>
      <c r="AV49" s="137">
        <v>3.6579999999999999</v>
      </c>
      <c r="AW49" s="137">
        <v>58.100999999999999</v>
      </c>
      <c r="AX49" s="137">
        <v>3.9409999999999998</v>
      </c>
      <c r="AY49" s="138">
        <v>1.2509999999999999</v>
      </c>
      <c r="AZ49" s="138">
        <v>0.104</v>
      </c>
      <c r="BA49" s="138">
        <v>1.0369999999999999</v>
      </c>
      <c r="BB49" s="138">
        <v>0.20899999999999999</v>
      </c>
      <c r="BC49" s="138">
        <v>1.284</v>
      </c>
      <c r="BD49" s="138">
        <v>8.2000000000000003E-2</v>
      </c>
      <c r="BE49" s="138">
        <v>1.0549999999999999</v>
      </c>
      <c r="BF49" s="138">
        <v>0.21299999999999999</v>
      </c>
      <c r="BG49" s="138">
        <v>0.66400000000000003</v>
      </c>
      <c r="BH49" s="138">
        <v>0.188</v>
      </c>
    </row>
    <row r="50" spans="1:60" x14ac:dyDescent="0.2">
      <c r="A50" s="21">
        <v>47</v>
      </c>
      <c r="B50" s="21" t="s">
        <v>151</v>
      </c>
      <c r="C50" s="44"/>
      <c r="D50" s="140">
        <v>44470</v>
      </c>
      <c r="E50" s="4" t="s">
        <v>0</v>
      </c>
      <c r="F50" s="109" t="s">
        <v>62</v>
      </c>
      <c r="G50" s="111" t="s">
        <v>1</v>
      </c>
      <c r="H50" s="1" t="s">
        <v>80</v>
      </c>
      <c r="I50" s="75" t="s">
        <v>82</v>
      </c>
      <c r="J50" s="1" t="s">
        <v>279</v>
      </c>
      <c r="K50" s="1" t="s">
        <v>5</v>
      </c>
      <c r="L50" s="20" t="s">
        <v>0</v>
      </c>
      <c r="M50" s="125">
        <v>78.599999999999994</v>
      </c>
      <c r="N50" s="118">
        <v>1.66</v>
      </c>
      <c r="O50" s="31">
        <f t="shared" si="11"/>
        <v>28.523733488169544</v>
      </c>
      <c r="P50" s="1">
        <v>1</v>
      </c>
      <c r="Q50" s="132">
        <v>3.81</v>
      </c>
      <c r="R50" s="27">
        <f t="shared" si="12"/>
        <v>1.0498687664041995</v>
      </c>
      <c r="S50" s="2" t="s">
        <v>0</v>
      </c>
      <c r="T50" s="67" t="s">
        <v>0</v>
      </c>
      <c r="U50" s="23" t="str">
        <f t="shared" si="7"/>
        <v>NO</v>
      </c>
      <c r="V50" s="125">
        <v>18.399999999999999</v>
      </c>
      <c r="W50" s="23" t="str">
        <f t="shared" si="6"/>
        <v>YES</v>
      </c>
      <c r="X50" s="67" t="s">
        <v>0</v>
      </c>
      <c r="Y50" s="23">
        <f t="shared" si="8"/>
        <v>1</v>
      </c>
      <c r="Z50" s="11">
        <v>4</v>
      </c>
      <c r="AA50" s="28">
        <f t="shared" si="9"/>
        <v>4</v>
      </c>
      <c r="AB50" s="1">
        <v>4</v>
      </c>
      <c r="AC50" s="24">
        <f t="shared" si="10"/>
        <v>12</v>
      </c>
      <c r="AD50" s="118">
        <v>9.2899999999999991</v>
      </c>
      <c r="AE50" s="6">
        <v>8</v>
      </c>
      <c r="AF50" s="138">
        <v>738.58199999999999</v>
      </c>
      <c r="AG50" s="137">
        <v>739.75199999999995</v>
      </c>
      <c r="AH50" s="32">
        <v>679</v>
      </c>
      <c r="AI50" s="138">
        <v>1.1399999999999999</v>
      </c>
      <c r="AJ50" s="138">
        <v>8.6999999999999994E-2</v>
      </c>
      <c r="AK50" s="137">
        <v>13.42</v>
      </c>
      <c r="AL50" s="137">
        <v>1.46</v>
      </c>
      <c r="AM50" s="137">
        <v>34.909999999999997</v>
      </c>
      <c r="AN50" s="137">
        <v>3.54</v>
      </c>
      <c r="AO50" s="137">
        <v>20.14</v>
      </c>
      <c r="AP50" s="137">
        <v>2.46</v>
      </c>
      <c r="AQ50" s="137">
        <v>31.18</v>
      </c>
      <c r="AR50" s="137">
        <v>2.63</v>
      </c>
      <c r="AS50" s="137">
        <v>-55.709000000000003</v>
      </c>
      <c r="AT50" s="137">
        <v>4.7939999999999996</v>
      </c>
      <c r="AU50" s="137">
        <v>19.905999999999999</v>
      </c>
      <c r="AV50" s="137">
        <v>2.6890000000000001</v>
      </c>
      <c r="AW50" s="137">
        <v>52.253999999999998</v>
      </c>
      <c r="AX50" s="137">
        <v>4.9279999999999999</v>
      </c>
      <c r="AY50" s="138">
        <v>1.083</v>
      </c>
      <c r="AZ50" s="138">
        <v>0.14000000000000001</v>
      </c>
      <c r="BA50" s="138">
        <v>1.1579999999999999</v>
      </c>
      <c r="BB50" s="138">
        <v>0.121</v>
      </c>
      <c r="BC50" s="138">
        <v>1.214</v>
      </c>
      <c r="BD50" s="138">
        <v>0.124</v>
      </c>
      <c r="BE50" s="138">
        <v>1.17</v>
      </c>
      <c r="BF50" s="138">
        <v>0.12</v>
      </c>
      <c r="BG50" s="138">
        <v>9.9000000000000005E-2</v>
      </c>
      <c r="BH50" s="138">
        <v>2.1999999999999999E-2</v>
      </c>
    </row>
    <row r="51" spans="1:60" x14ac:dyDescent="0.2">
      <c r="A51" s="21">
        <v>48</v>
      </c>
      <c r="B51" s="21" t="s">
        <v>152</v>
      </c>
      <c r="C51" s="44"/>
      <c r="D51" s="140">
        <v>44470</v>
      </c>
      <c r="E51" s="1" t="s">
        <v>84</v>
      </c>
      <c r="F51" s="109" t="s">
        <v>62</v>
      </c>
      <c r="G51" s="110" t="s">
        <v>4</v>
      </c>
      <c r="H51" s="2" t="s">
        <v>80</v>
      </c>
      <c r="I51" s="78" t="s">
        <v>82</v>
      </c>
      <c r="J51" s="2" t="s">
        <v>279</v>
      </c>
      <c r="K51" s="2" t="s">
        <v>3</v>
      </c>
      <c r="L51" s="20" t="s">
        <v>0</v>
      </c>
      <c r="M51" s="123">
        <v>56</v>
      </c>
      <c r="N51" s="116">
        <v>1.61</v>
      </c>
      <c r="O51" s="31">
        <f t="shared" si="11"/>
        <v>21.60410477990818</v>
      </c>
      <c r="P51" s="2">
        <v>3</v>
      </c>
      <c r="Q51" s="130">
        <v>6.77</v>
      </c>
      <c r="R51" s="27">
        <f t="shared" si="12"/>
        <v>0.59084194977843429</v>
      </c>
      <c r="S51" s="2" t="s">
        <v>0</v>
      </c>
      <c r="T51" s="66" t="s">
        <v>84</v>
      </c>
      <c r="U51" s="23" t="str">
        <f t="shared" si="7"/>
        <v>NO</v>
      </c>
      <c r="V51" s="123">
        <v>16</v>
      </c>
      <c r="W51" s="23" t="str">
        <f t="shared" si="6"/>
        <v>NO</v>
      </c>
      <c r="X51" s="66" t="s">
        <v>0</v>
      </c>
      <c r="Y51" s="23">
        <f t="shared" si="8"/>
        <v>1</v>
      </c>
      <c r="Z51" s="11">
        <v>3</v>
      </c>
      <c r="AA51" s="28">
        <f t="shared" si="9"/>
        <v>2</v>
      </c>
      <c r="AB51" s="2">
        <v>0</v>
      </c>
      <c r="AC51" s="24">
        <f t="shared" si="10"/>
        <v>5</v>
      </c>
      <c r="AD51" s="116" t="s">
        <v>263</v>
      </c>
      <c r="AE51" s="5">
        <v>10</v>
      </c>
      <c r="AF51" s="138">
        <v>1193.3879999999999</v>
      </c>
      <c r="AG51" s="137">
        <v>1309.0219999999999</v>
      </c>
      <c r="AH51" s="32">
        <v>1147</v>
      </c>
      <c r="AI51" s="138">
        <v>1.151</v>
      </c>
      <c r="AJ51" s="138">
        <v>9.2999999999999999E-2</v>
      </c>
      <c r="AK51" s="137">
        <v>10.92</v>
      </c>
      <c r="AL51" s="137">
        <v>2.09</v>
      </c>
      <c r="AM51" s="137">
        <v>34.81</v>
      </c>
      <c r="AN51" s="137">
        <v>4.1500000000000004</v>
      </c>
      <c r="AO51" s="137">
        <v>22.91</v>
      </c>
      <c r="AP51" s="137">
        <v>2.97</v>
      </c>
      <c r="AQ51" s="137">
        <v>30.95</v>
      </c>
      <c r="AR51" s="137">
        <v>2.81</v>
      </c>
      <c r="AS51" s="137">
        <v>-71.748000000000005</v>
      </c>
      <c r="AT51" s="137">
        <v>7.8330000000000002</v>
      </c>
      <c r="AU51" s="137">
        <v>7.8680000000000003</v>
      </c>
      <c r="AV51" s="137">
        <v>1.9470000000000001</v>
      </c>
      <c r="AW51" s="137">
        <v>52.314</v>
      </c>
      <c r="AX51" s="137">
        <v>4.2450000000000001</v>
      </c>
      <c r="AY51" s="138">
        <v>0.97399999999999998</v>
      </c>
      <c r="AZ51" s="138">
        <v>0.115</v>
      </c>
      <c r="BA51" s="138">
        <v>1.0509999999999999</v>
      </c>
      <c r="BB51" s="138">
        <v>0.111</v>
      </c>
      <c r="BC51" s="138">
        <v>1.109</v>
      </c>
      <c r="BD51" s="138">
        <v>0.114</v>
      </c>
      <c r="BE51" s="138">
        <v>1.085</v>
      </c>
      <c r="BF51" s="138">
        <v>0.112</v>
      </c>
      <c r="BG51" s="138">
        <v>7.5999999999999998E-2</v>
      </c>
      <c r="BH51" s="138">
        <v>0.02</v>
      </c>
    </row>
    <row r="52" spans="1:60" x14ac:dyDescent="0.2">
      <c r="A52" s="21">
        <v>49</v>
      </c>
      <c r="B52" s="21" t="s">
        <v>153</v>
      </c>
      <c r="C52" s="44"/>
      <c r="D52" s="140">
        <v>44470</v>
      </c>
      <c r="E52" s="1" t="s">
        <v>84</v>
      </c>
      <c r="F52" s="109" t="s">
        <v>62</v>
      </c>
      <c r="G52" s="111" t="s">
        <v>6</v>
      </c>
      <c r="H52" s="1" t="s">
        <v>80</v>
      </c>
      <c r="I52" s="76" t="s">
        <v>83</v>
      </c>
      <c r="J52" s="1" t="s">
        <v>282</v>
      </c>
      <c r="K52" s="1" t="s">
        <v>3</v>
      </c>
      <c r="L52" s="20" t="s">
        <v>0</v>
      </c>
      <c r="M52" s="125">
        <v>43.4</v>
      </c>
      <c r="N52" s="118">
        <v>1.37</v>
      </c>
      <c r="O52" s="31">
        <f t="shared" si="11"/>
        <v>23.123235121743296</v>
      </c>
      <c r="P52" s="1">
        <v>4</v>
      </c>
      <c r="Q52" s="132">
        <v>5.03</v>
      </c>
      <c r="R52" s="27">
        <f t="shared" si="12"/>
        <v>0.79522862823061624</v>
      </c>
      <c r="S52" s="1" t="s">
        <v>84</v>
      </c>
      <c r="T52" s="67" t="s">
        <v>0</v>
      </c>
      <c r="U52" s="23" t="str">
        <f t="shared" si="7"/>
        <v>NO</v>
      </c>
      <c r="V52" s="125">
        <v>4</v>
      </c>
      <c r="W52" s="23" t="str">
        <f t="shared" si="6"/>
        <v>YES</v>
      </c>
      <c r="X52" s="67" t="s">
        <v>0</v>
      </c>
      <c r="Y52" s="23">
        <f t="shared" si="8"/>
        <v>2</v>
      </c>
      <c r="Z52" s="11">
        <v>3</v>
      </c>
      <c r="AA52" s="28">
        <f t="shared" si="9"/>
        <v>3</v>
      </c>
      <c r="AB52" s="1">
        <v>4</v>
      </c>
      <c r="AC52" s="24">
        <f t="shared" si="10"/>
        <v>10</v>
      </c>
      <c r="AD52" s="118">
        <v>13.04</v>
      </c>
      <c r="AE52" s="6">
        <v>7</v>
      </c>
      <c r="AF52" s="138">
        <v>1368.549</v>
      </c>
      <c r="AG52" s="137">
        <v>1509.566</v>
      </c>
      <c r="AH52" s="32">
        <v>1420</v>
      </c>
      <c r="AI52" s="138">
        <v>1.0649999999999999</v>
      </c>
      <c r="AJ52" s="138">
        <v>4.7E-2</v>
      </c>
      <c r="AK52" s="137">
        <v>12.52</v>
      </c>
      <c r="AL52" s="137">
        <v>1.35</v>
      </c>
      <c r="AM52" s="137">
        <v>41.08</v>
      </c>
      <c r="AN52" s="137">
        <v>2.19</v>
      </c>
      <c r="AO52" s="137">
        <v>17.18</v>
      </c>
      <c r="AP52" s="137">
        <v>1.27</v>
      </c>
      <c r="AQ52" s="137">
        <v>29.21</v>
      </c>
      <c r="AR52" s="137">
        <v>1.32</v>
      </c>
      <c r="AS52" s="137">
        <v>-57.726999999999997</v>
      </c>
      <c r="AT52" s="137">
        <v>4.3760000000000003</v>
      </c>
      <c r="AU52" s="137">
        <v>18.841999999999999</v>
      </c>
      <c r="AV52" s="137">
        <v>2.6150000000000002</v>
      </c>
      <c r="AW52" s="137">
        <v>56.466000000000001</v>
      </c>
      <c r="AX52" s="137">
        <v>2.4089999999999998</v>
      </c>
      <c r="AY52" s="138">
        <v>0.94599999999999995</v>
      </c>
      <c r="AZ52" s="138">
        <v>8.2000000000000003E-2</v>
      </c>
      <c r="BA52" s="138">
        <v>0.96599999999999997</v>
      </c>
      <c r="BB52" s="138">
        <v>7.0999999999999994E-2</v>
      </c>
      <c r="BC52" s="138">
        <v>1.004</v>
      </c>
      <c r="BD52" s="138">
        <v>7.3999999999999996E-2</v>
      </c>
      <c r="BE52" s="138">
        <v>0.97799999999999998</v>
      </c>
      <c r="BF52" s="138">
        <v>7.1999999999999995E-2</v>
      </c>
      <c r="BG52" s="138">
        <v>7.4999999999999997E-2</v>
      </c>
      <c r="BH52" s="138">
        <v>1.9E-2</v>
      </c>
    </row>
    <row r="53" spans="1:60" x14ac:dyDescent="0.2">
      <c r="A53" s="21">
        <v>50</v>
      </c>
      <c r="B53" s="21" t="s">
        <v>154</v>
      </c>
      <c r="C53" s="44"/>
      <c r="D53" s="140">
        <v>44470</v>
      </c>
      <c r="E53" s="1" t="s">
        <v>84</v>
      </c>
      <c r="F53" s="109" t="s">
        <v>62</v>
      </c>
      <c r="G53" s="111" t="s">
        <v>1</v>
      </c>
      <c r="H53" s="1" t="s">
        <v>80</v>
      </c>
      <c r="I53" s="76" t="s">
        <v>83</v>
      </c>
      <c r="J53" s="1" t="s">
        <v>279</v>
      </c>
      <c r="K53" s="1" t="s">
        <v>5</v>
      </c>
      <c r="L53" s="20" t="s">
        <v>0</v>
      </c>
      <c r="M53" s="125">
        <v>67</v>
      </c>
      <c r="N53" s="118">
        <v>1.47</v>
      </c>
      <c r="O53" s="31">
        <f t="shared" si="11"/>
        <v>31.005599518719055</v>
      </c>
      <c r="P53" s="1">
        <v>3</v>
      </c>
      <c r="Q53" s="132">
        <v>5.0599999999999996</v>
      </c>
      <c r="R53" s="27">
        <f t="shared" si="12"/>
        <v>0.79051383399209496</v>
      </c>
      <c r="S53" s="1" t="s">
        <v>0</v>
      </c>
      <c r="T53" s="67" t="s">
        <v>0</v>
      </c>
      <c r="U53" s="23" t="str">
        <f t="shared" si="7"/>
        <v>NO</v>
      </c>
      <c r="V53" s="125">
        <v>12</v>
      </c>
      <c r="W53" s="23" t="str">
        <f t="shared" si="6"/>
        <v>YES</v>
      </c>
      <c r="X53" s="67" t="s">
        <v>0</v>
      </c>
      <c r="Y53" s="23">
        <f t="shared" si="8"/>
        <v>1</v>
      </c>
      <c r="Z53" s="11">
        <v>4</v>
      </c>
      <c r="AA53" s="28">
        <f t="shared" si="9"/>
        <v>3</v>
      </c>
      <c r="AB53" s="1">
        <v>2</v>
      </c>
      <c r="AC53" s="24">
        <f t="shared" si="10"/>
        <v>9</v>
      </c>
      <c r="AD53" s="118">
        <v>17.28</v>
      </c>
      <c r="AE53" s="6">
        <v>7</v>
      </c>
      <c r="AF53" s="138">
        <v>1136.0640000000001</v>
      </c>
      <c r="AG53" s="137">
        <v>1553.99</v>
      </c>
      <c r="AH53" s="32">
        <v>1144</v>
      </c>
      <c r="AI53" s="138">
        <v>1.367</v>
      </c>
      <c r="AJ53" s="138">
        <v>0.10299999999999999</v>
      </c>
      <c r="AK53" s="137">
        <v>12.82</v>
      </c>
      <c r="AL53" s="137">
        <v>1.83</v>
      </c>
      <c r="AM53" s="137">
        <v>41.6</v>
      </c>
      <c r="AN53" s="137">
        <v>3.7</v>
      </c>
      <c r="AO53" s="137">
        <v>18.41</v>
      </c>
      <c r="AP53" s="137">
        <v>2.15</v>
      </c>
      <c r="AQ53" s="137">
        <v>27.03</v>
      </c>
      <c r="AR53" s="137">
        <v>1.94</v>
      </c>
      <c r="AS53" s="137">
        <v>-57.393999999999998</v>
      </c>
      <c r="AT53" s="137">
        <v>7.3769999999999998</v>
      </c>
      <c r="AU53" s="137">
        <v>16.015000000000001</v>
      </c>
      <c r="AV53" s="137">
        <v>2.8540000000000001</v>
      </c>
      <c r="AW53" s="137">
        <v>44.05</v>
      </c>
      <c r="AX53" s="137">
        <v>3.355</v>
      </c>
      <c r="AY53" s="138">
        <v>0.78200000000000003</v>
      </c>
      <c r="AZ53" s="138">
        <v>8.8999999999999996E-2</v>
      </c>
      <c r="BA53" s="138">
        <v>0.997</v>
      </c>
      <c r="BB53" s="138">
        <v>8.5999999999999993E-2</v>
      </c>
      <c r="BC53" s="138">
        <v>1.0569999999999999</v>
      </c>
      <c r="BD53" s="138">
        <v>0.09</v>
      </c>
      <c r="BE53" s="138">
        <v>1.0149999999999999</v>
      </c>
      <c r="BF53" s="138">
        <v>8.5999999999999993E-2</v>
      </c>
      <c r="BG53" s="138">
        <v>0.14399999999999999</v>
      </c>
      <c r="BH53" s="138">
        <v>4.7E-2</v>
      </c>
    </row>
    <row r="54" spans="1:60" x14ac:dyDescent="0.2">
      <c r="A54" s="21">
        <v>51</v>
      </c>
      <c r="B54" s="21" t="s">
        <v>155</v>
      </c>
      <c r="C54" s="44"/>
      <c r="D54" s="140">
        <v>44470</v>
      </c>
      <c r="E54" s="1" t="s">
        <v>84</v>
      </c>
      <c r="F54" s="109" t="s">
        <v>62</v>
      </c>
      <c r="G54" s="111" t="s">
        <v>11</v>
      </c>
      <c r="H54" s="1" t="s">
        <v>80</v>
      </c>
      <c r="I54" s="76" t="s">
        <v>83</v>
      </c>
      <c r="J54" s="1" t="s">
        <v>279</v>
      </c>
      <c r="K54" s="1" t="s">
        <v>5</v>
      </c>
      <c r="L54" s="20" t="s">
        <v>0</v>
      </c>
      <c r="M54" s="125">
        <v>82</v>
      </c>
      <c r="N54" s="118">
        <v>1.68</v>
      </c>
      <c r="O54" s="31">
        <f t="shared" si="11"/>
        <v>29.053287981859416</v>
      </c>
      <c r="P54" s="1">
        <v>2</v>
      </c>
      <c r="Q54" s="132">
        <v>3.92</v>
      </c>
      <c r="R54" s="27">
        <f t="shared" si="12"/>
        <v>1.0204081632653061</v>
      </c>
      <c r="S54" s="1" t="s">
        <v>0</v>
      </c>
      <c r="T54" s="67" t="s">
        <v>0</v>
      </c>
      <c r="U54" s="23" t="str">
        <f t="shared" si="7"/>
        <v>NO</v>
      </c>
      <c r="V54" s="125">
        <v>22</v>
      </c>
      <c r="W54" s="23" t="str">
        <f t="shared" si="6"/>
        <v>YES</v>
      </c>
      <c r="X54" s="67" t="s">
        <v>84</v>
      </c>
      <c r="Y54" s="23">
        <f t="shared" si="8"/>
        <v>2</v>
      </c>
      <c r="Z54" s="11">
        <v>4</v>
      </c>
      <c r="AA54" s="28">
        <f t="shared" si="9"/>
        <v>4</v>
      </c>
      <c r="AB54" s="1">
        <v>2</v>
      </c>
      <c r="AC54" s="24">
        <f t="shared" si="10"/>
        <v>10</v>
      </c>
      <c r="AD54" s="118">
        <v>14.18</v>
      </c>
      <c r="AE54" s="6">
        <v>7</v>
      </c>
      <c r="AF54" s="138">
        <v>601.68600000000004</v>
      </c>
      <c r="AG54" s="137">
        <v>1192.4290000000001</v>
      </c>
      <c r="AH54" s="32">
        <v>965</v>
      </c>
      <c r="AI54" s="138">
        <v>1.266</v>
      </c>
      <c r="AJ54" s="138">
        <v>9.9000000000000005E-2</v>
      </c>
      <c r="AK54" s="137">
        <v>6.35</v>
      </c>
      <c r="AL54" s="137">
        <v>1.2</v>
      </c>
      <c r="AM54" s="137">
        <v>47.98</v>
      </c>
      <c r="AN54" s="137">
        <v>4.08</v>
      </c>
      <c r="AO54" s="137">
        <v>15.53</v>
      </c>
      <c r="AP54" s="137">
        <v>1.39</v>
      </c>
      <c r="AQ54" s="137">
        <v>30.12</v>
      </c>
      <c r="AR54" s="137">
        <v>2.4500000000000002</v>
      </c>
      <c r="AS54" s="137">
        <v>-53.938000000000002</v>
      </c>
      <c r="AT54" s="137">
        <v>6.5730000000000004</v>
      </c>
      <c r="AU54" s="137">
        <v>6.0750000000000002</v>
      </c>
      <c r="AV54" s="137">
        <v>1.5129999999999999</v>
      </c>
      <c r="AW54" s="137">
        <v>47.357999999999997</v>
      </c>
      <c r="AX54" s="137">
        <v>3.927</v>
      </c>
      <c r="AY54" s="138">
        <v>0.73399999999999999</v>
      </c>
      <c r="AZ54" s="138">
        <v>9.5000000000000001E-2</v>
      </c>
      <c r="BA54" s="138">
        <v>0.77600000000000002</v>
      </c>
      <c r="BB54" s="138">
        <v>0.159</v>
      </c>
      <c r="BC54" s="138">
        <v>0.92300000000000004</v>
      </c>
      <c r="BD54" s="138">
        <v>9.4E-2</v>
      </c>
      <c r="BE54" s="138">
        <v>0.78200000000000003</v>
      </c>
      <c r="BF54" s="138">
        <v>0.16200000000000001</v>
      </c>
      <c r="BG54" s="138">
        <v>0.376</v>
      </c>
      <c r="BH54" s="138">
        <v>0.112</v>
      </c>
    </row>
    <row r="55" spans="1:60" x14ac:dyDescent="0.2">
      <c r="A55" s="21">
        <v>52</v>
      </c>
      <c r="B55" s="21" t="s">
        <v>156</v>
      </c>
      <c r="C55" s="44"/>
      <c r="D55" s="140">
        <v>44470</v>
      </c>
      <c r="E55" s="1" t="s">
        <v>84</v>
      </c>
      <c r="F55" s="109" t="s">
        <v>62</v>
      </c>
      <c r="G55" s="111" t="s">
        <v>11</v>
      </c>
      <c r="H55" s="1" t="s">
        <v>80</v>
      </c>
      <c r="I55" s="75" t="s">
        <v>82</v>
      </c>
      <c r="J55" s="1" t="s">
        <v>281</v>
      </c>
      <c r="K55" s="1" t="s">
        <v>3</v>
      </c>
      <c r="L55" s="20" t="s">
        <v>0</v>
      </c>
      <c r="M55" s="125">
        <v>46</v>
      </c>
      <c r="N55" s="118">
        <v>1.37</v>
      </c>
      <c r="O55" s="31">
        <f t="shared" si="11"/>
        <v>24.508498055303956</v>
      </c>
      <c r="P55" s="1">
        <v>2</v>
      </c>
      <c r="Q55" s="132">
        <v>14.42</v>
      </c>
      <c r="R55" s="27">
        <f t="shared" si="12"/>
        <v>0.27739251040221913</v>
      </c>
      <c r="S55" s="1" t="s">
        <v>0</v>
      </c>
      <c r="T55" s="67" t="s">
        <v>0</v>
      </c>
      <c r="U55" s="23" t="str">
        <f t="shared" si="7"/>
        <v>YES</v>
      </c>
      <c r="V55" s="125">
        <v>22</v>
      </c>
      <c r="W55" s="23" t="str">
        <f t="shared" si="6"/>
        <v>NO</v>
      </c>
      <c r="X55" s="67" t="s">
        <v>84</v>
      </c>
      <c r="Y55" s="23">
        <f t="shared" si="8"/>
        <v>2</v>
      </c>
      <c r="Z55" s="11">
        <v>2</v>
      </c>
      <c r="AA55" s="28">
        <f t="shared" si="9"/>
        <v>1</v>
      </c>
      <c r="AB55" s="1">
        <v>0</v>
      </c>
      <c r="AC55" s="24">
        <f t="shared" si="10"/>
        <v>3</v>
      </c>
      <c r="AD55" s="118" t="s">
        <v>105</v>
      </c>
      <c r="AE55" s="6">
        <v>7</v>
      </c>
      <c r="AF55" s="138">
        <v>219.17400000000001</v>
      </c>
      <c r="AG55" s="137">
        <v>437.53</v>
      </c>
      <c r="AH55" s="32">
        <v>325</v>
      </c>
      <c r="AI55" s="138">
        <v>1.498</v>
      </c>
      <c r="AJ55" s="138">
        <v>0.154</v>
      </c>
      <c r="AK55" s="137">
        <v>12.22</v>
      </c>
      <c r="AL55" s="137">
        <v>2.82</v>
      </c>
      <c r="AM55" s="137">
        <v>47.6</v>
      </c>
      <c r="AN55" s="137">
        <v>5.87</v>
      </c>
      <c r="AO55" s="137">
        <v>14.92</v>
      </c>
      <c r="AP55" s="137">
        <v>2.3199999999999998</v>
      </c>
      <c r="AQ55" s="137">
        <v>24.62</v>
      </c>
      <c r="AR55" s="137">
        <v>2.46</v>
      </c>
      <c r="AS55" s="137">
        <v>-38.734999999999999</v>
      </c>
      <c r="AT55" s="137">
        <v>6.3380000000000001</v>
      </c>
      <c r="AU55" s="137">
        <v>10.861000000000001</v>
      </c>
      <c r="AV55" s="137">
        <v>2.5659999999999998</v>
      </c>
      <c r="AW55" s="137">
        <v>40.247</v>
      </c>
      <c r="AX55" s="137">
        <v>4.0519999999999996</v>
      </c>
      <c r="AY55" s="138">
        <v>0.52700000000000002</v>
      </c>
      <c r="AZ55" s="138">
        <v>9.5000000000000001E-2</v>
      </c>
      <c r="BA55" s="138">
        <v>0.748</v>
      </c>
      <c r="BB55" s="138">
        <v>8.6999999999999994E-2</v>
      </c>
      <c r="BC55" s="138">
        <v>0.78300000000000003</v>
      </c>
      <c r="BD55" s="138">
        <v>9.0999999999999998E-2</v>
      </c>
      <c r="BE55" s="138">
        <v>0.75800000000000001</v>
      </c>
      <c r="BF55" s="138">
        <v>8.8999999999999996E-2</v>
      </c>
      <c r="BG55" s="138">
        <v>0.05</v>
      </c>
      <c r="BH55" s="138">
        <v>1.2E-2</v>
      </c>
    </row>
    <row r="56" spans="1:60" x14ac:dyDescent="0.2">
      <c r="A56" s="21">
        <v>53</v>
      </c>
      <c r="B56" s="21" t="s">
        <v>157</v>
      </c>
      <c r="C56" s="44"/>
      <c r="D56" s="140">
        <v>44470</v>
      </c>
      <c r="E56" s="1" t="s">
        <v>84</v>
      </c>
      <c r="F56" s="109" t="s">
        <v>62</v>
      </c>
      <c r="G56" s="111" t="s">
        <v>1</v>
      </c>
      <c r="H56" s="1" t="s">
        <v>80</v>
      </c>
      <c r="I56" s="76" t="s">
        <v>83</v>
      </c>
      <c r="J56" s="1" t="s">
        <v>279</v>
      </c>
      <c r="K56" s="1" t="s">
        <v>3</v>
      </c>
      <c r="L56" s="20" t="s">
        <v>0</v>
      </c>
      <c r="M56" s="125">
        <v>80</v>
      </c>
      <c r="N56" s="118">
        <v>1.52</v>
      </c>
      <c r="O56" s="31">
        <f t="shared" si="11"/>
        <v>34.626038781163437</v>
      </c>
      <c r="P56" s="1">
        <v>3</v>
      </c>
      <c r="Q56" s="132">
        <v>6.42</v>
      </c>
      <c r="R56" s="27">
        <f t="shared" si="12"/>
        <v>0.62305295950155759</v>
      </c>
      <c r="S56" s="1" t="s">
        <v>0</v>
      </c>
      <c r="T56" s="67" t="s">
        <v>84</v>
      </c>
      <c r="U56" s="23" t="str">
        <f t="shared" si="7"/>
        <v>NO</v>
      </c>
      <c r="V56" s="125">
        <v>14</v>
      </c>
      <c r="W56" s="23" t="str">
        <f t="shared" si="6"/>
        <v>NO</v>
      </c>
      <c r="X56" s="67" t="s">
        <v>84</v>
      </c>
      <c r="Y56" s="23">
        <f t="shared" si="8"/>
        <v>2</v>
      </c>
      <c r="Z56" s="11">
        <v>2</v>
      </c>
      <c r="AA56" s="28">
        <f t="shared" si="9"/>
        <v>2</v>
      </c>
      <c r="AB56" s="1">
        <v>1</v>
      </c>
      <c r="AC56" s="24">
        <f t="shared" si="10"/>
        <v>5</v>
      </c>
      <c r="AD56" s="118">
        <v>23.92</v>
      </c>
      <c r="AE56" s="6">
        <v>8</v>
      </c>
      <c r="AF56" s="138">
        <v>903.93399999999997</v>
      </c>
      <c r="AG56" s="137">
        <v>1528.365</v>
      </c>
      <c r="AH56" s="32">
        <v>1028</v>
      </c>
      <c r="AI56" s="138">
        <v>1.4910000000000001</v>
      </c>
      <c r="AJ56" s="138">
        <v>8.3000000000000004E-2</v>
      </c>
      <c r="AK56" s="137">
        <v>9.17</v>
      </c>
      <c r="AL56" s="137">
        <v>1.43</v>
      </c>
      <c r="AM56" s="137">
        <v>44.14</v>
      </c>
      <c r="AN56" s="137">
        <v>2.78</v>
      </c>
      <c r="AO56" s="137">
        <v>19.260000000000002</v>
      </c>
      <c r="AP56" s="137">
        <v>2.0099999999999998</v>
      </c>
      <c r="AQ56" s="137">
        <v>27.38</v>
      </c>
      <c r="AR56" s="137">
        <v>1.66</v>
      </c>
      <c r="AS56" s="137">
        <v>-49.679000000000002</v>
      </c>
      <c r="AT56" s="137">
        <v>4.1079999999999997</v>
      </c>
      <c r="AU56" s="137">
        <v>14.935</v>
      </c>
      <c r="AV56" s="137">
        <v>2.468</v>
      </c>
      <c r="AW56" s="137">
        <v>40.325000000000003</v>
      </c>
      <c r="AX56" s="137">
        <v>2.2130000000000001</v>
      </c>
      <c r="AY56" s="138">
        <v>0.63700000000000001</v>
      </c>
      <c r="AZ56" s="138">
        <v>6.3E-2</v>
      </c>
      <c r="BA56" s="138">
        <v>0.88900000000000001</v>
      </c>
      <c r="BB56" s="138">
        <v>7.3999999999999996E-2</v>
      </c>
      <c r="BC56" s="138">
        <v>0.94499999999999995</v>
      </c>
      <c r="BD56" s="138">
        <v>0.08</v>
      </c>
      <c r="BE56" s="138">
        <v>0.90300000000000002</v>
      </c>
      <c r="BF56" s="138">
        <v>7.5999999999999998E-2</v>
      </c>
      <c r="BG56" s="138">
        <v>0.14899999999999999</v>
      </c>
      <c r="BH56" s="138">
        <v>4.7E-2</v>
      </c>
    </row>
    <row r="57" spans="1:60" x14ac:dyDescent="0.2">
      <c r="A57" s="21">
        <v>54</v>
      </c>
      <c r="B57" s="21" t="s">
        <v>158</v>
      </c>
      <c r="C57" s="44"/>
      <c r="D57" s="140">
        <v>44501</v>
      </c>
      <c r="E57" s="1" t="s">
        <v>84</v>
      </c>
      <c r="F57" s="109" t="s">
        <v>62</v>
      </c>
      <c r="G57" s="111" t="s">
        <v>6</v>
      </c>
      <c r="H57" s="1" t="s">
        <v>80</v>
      </c>
      <c r="I57" s="76" t="s">
        <v>83</v>
      </c>
      <c r="J57" s="1" t="s">
        <v>284</v>
      </c>
      <c r="K57" s="1" t="s">
        <v>3</v>
      </c>
      <c r="L57" s="21" t="s">
        <v>84</v>
      </c>
      <c r="M57" s="125">
        <v>68</v>
      </c>
      <c r="N57" s="118">
        <v>1.46</v>
      </c>
      <c r="O57" s="31">
        <f t="shared" si="11"/>
        <v>31.90091949709139</v>
      </c>
      <c r="P57" s="1">
        <v>5</v>
      </c>
      <c r="Q57" s="132">
        <v>14</v>
      </c>
      <c r="R57" s="27">
        <f t="shared" si="12"/>
        <v>0.2857142857142857</v>
      </c>
      <c r="S57" s="1" t="s">
        <v>0</v>
      </c>
      <c r="T57" s="67" t="s">
        <v>84</v>
      </c>
      <c r="U57" s="23" t="str">
        <f t="shared" si="7"/>
        <v>YES</v>
      </c>
      <c r="V57" s="125">
        <v>10</v>
      </c>
      <c r="W57" s="23" t="str">
        <f t="shared" si="6"/>
        <v>YES</v>
      </c>
      <c r="X57" s="67" t="s">
        <v>84</v>
      </c>
      <c r="Y57" s="23">
        <f t="shared" si="8"/>
        <v>4</v>
      </c>
      <c r="Z57" s="11">
        <v>2</v>
      </c>
      <c r="AA57" s="28">
        <f t="shared" si="9"/>
        <v>1</v>
      </c>
      <c r="AB57" s="1">
        <v>1</v>
      </c>
      <c r="AC57" s="24">
        <f t="shared" si="10"/>
        <v>4</v>
      </c>
      <c r="AD57" s="118">
        <v>34.700000000000003</v>
      </c>
      <c r="AE57" s="6" t="s">
        <v>105</v>
      </c>
      <c r="AF57" s="138">
        <v>118.71</v>
      </c>
      <c r="AG57" s="137">
        <v>375.33800000000002</v>
      </c>
      <c r="AH57" s="32">
        <v>269</v>
      </c>
      <c r="AI57" s="138">
        <v>1.4059999999999999</v>
      </c>
      <c r="AJ57" s="138">
        <v>0.15</v>
      </c>
      <c r="AK57" s="137">
        <v>7.51</v>
      </c>
      <c r="AL57" s="137">
        <v>1.48</v>
      </c>
      <c r="AM57" s="137">
        <v>56.5</v>
      </c>
      <c r="AN57" s="137">
        <v>5.35</v>
      </c>
      <c r="AO57" s="137">
        <v>14.71</v>
      </c>
      <c r="AP57" s="137">
        <v>1.78</v>
      </c>
      <c r="AQ57" s="137">
        <v>21.66</v>
      </c>
      <c r="AR57" s="137">
        <v>2.27</v>
      </c>
      <c r="AS57" s="137">
        <v>-33.396000000000001</v>
      </c>
      <c r="AT57" s="137">
        <v>3.75</v>
      </c>
      <c r="AU57" s="137">
        <v>5.4820000000000002</v>
      </c>
      <c r="AV57" s="137">
        <v>1.462</v>
      </c>
      <c r="AW57" s="137">
        <v>42.978999999999999</v>
      </c>
      <c r="AX57" s="137">
        <v>4.1619999999999999</v>
      </c>
      <c r="AY57" s="138">
        <v>0.36699999999999999</v>
      </c>
      <c r="AZ57" s="138">
        <v>4.9000000000000002E-2</v>
      </c>
      <c r="BA57" s="138">
        <v>0.46600000000000003</v>
      </c>
      <c r="BB57" s="138">
        <v>6.5000000000000002E-2</v>
      </c>
      <c r="BC57" s="138">
        <v>0.51</v>
      </c>
      <c r="BD57" s="138">
        <v>7.0999999999999994E-2</v>
      </c>
      <c r="BE57" s="138">
        <v>0.47899999999999998</v>
      </c>
      <c r="BF57" s="138">
        <v>6.6000000000000003E-2</v>
      </c>
      <c r="BG57" s="138">
        <v>0.107</v>
      </c>
      <c r="BH57" s="138">
        <v>3.4000000000000002E-2</v>
      </c>
    </row>
    <row r="58" spans="1:60" x14ac:dyDescent="0.2">
      <c r="A58" s="22">
        <v>55</v>
      </c>
      <c r="B58" s="21" t="s">
        <v>159</v>
      </c>
      <c r="C58" s="45"/>
      <c r="D58" s="141">
        <v>44501</v>
      </c>
      <c r="E58" s="1" t="s">
        <v>84</v>
      </c>
      <c r="F58" s="109" t="s">
        <v>62</v>
      </c>
      <c r="G58" s="110" t="s">
        <v>11</v>
      </c>
      <c r="H58" s="2" t="s">
        <v>80</v>
      </c>
      <c r="I58" s="74" t="s">
        <v>83</v>
      </c>
      <c r="J58" s="2" t="s">
        <v>282</v>
      </c>
      <c r="K58" s="2" t="s">
        <v>3</v>
      </c>
      <c r="L58" s="22" t="s">
        <v>0</v>
      </c>
      <c r="M58" s="123">
        <v>54</v>
      </c>
      <c r="N58" s="116">
        <v>1.58</v>
      </c>
      <c r="O58" s="25">
        <f t="shared" si="11"/>
        <v>21.631148854350261</v>
      </c>
      <c r="P58" s="2">
        <v>5</v>
      </c>
      <c r="Q58" s="130">
        <v>4.9000000000000004</v>
      </c>
      <c r="R58" s="27">
        <f t="shared" si="12"/>
        <v>0.81632653061224481</v>
      </c>
      <c r="S58" s="2" t="s">
        <v>0</v>
      </c>
      <c r="T58" s="66" t="s">
        <v>0</v>
      </c>
      <c r="U58" s="23" t="str">
        <f t="shared" si="7"/>
        <v>NO</v>
      </c>
      <c r="V58" s="123">
        <v>8</v>
      </c>
      <c r="W58" s="23" t="str">
        <f t="shared" si="6"/>
        <v>YES</v>
      </c>
      <c r="X58" s="66" t="s">
        <v>84</v>
      </c>
      <c r="Y58" s="23">
        <f t="shared" si="8"/>
        <v>2</v>
      </c>
      <c r="Z58" s="11">
        <v>2</v>
      </c>
      <c r="AA58" s="28">
        <f t="shared" si="9"/>
        <v>3</v>
      </c>
      <c r="AB58" s="2">
        <v>4</v>
      </c>
      <c r="AC58" s="24">
        <f t="shared" si="10"/>
        <v>9</v>
      </c>
      <c r="AD58" s="116" t="s">
        <v>105</v>
      </c>
      <c r="AE58" s="5" t="s">
        <v>105</v>
      </c>
      <c r="AF58" s="138">
        <v>442.71899999999999</v>
      </c>
      <c r="AG58" s="137">
        <v>787.84199999999998</v>
      </c>
      <c r="AH58" s="32">
        <v>607</v>
      </c>
      <c r="AI58" s="138">
        <v>1.304</v>
      </c>
      <c r="AJ58" s="138">
        <v>9.5000000000000001E-2</v>
      </c>
      <c r="AK58" s="137">
        <v>7.63</v>
      </c>
      <c r="AL58" s="137">
        <v>1.08</v>
      </c>
      <c r="AM58" s="137">
        <v>47.04</v>
      </c>
      <c r="AN58" s="137">
        <v>3.44</v>
      </c>
      <c r="AO58" s="137">
        <v>18.04</v>
      </c>
      <c r="AP58" s="137">
        <v>1.62</v>
      </c>
      <c r="AQ58" s="137">
        <v>27.44</v>
      </c>
      <c r="AR58" s="137">
        <v>2</v>
      </c>
      <c r="AS58" s="137">
        <v>-46.308</v>
      </c>
      <c r="AT58" s="137">
        <v>5.4939999999999998</v>
      </c>
      <c r="AU58" s="137">
        <v>7.3550000000000004</v>
      </c>
      <c r="AV58" s="137">
        <v>1.736</v>
      </c>
      <c r="AW58" s="137">
        <v>46.203000000000003</v>
      </c>
      <c r="AX58" s="137">
        <v>3.698</v>
      </c>
      <c r="AY58" s="138">
        <v>0.61599999999999999</v>
      </c>
      <c r="AZ58" s="138">
        <v>7.0999999999999994E-2</v>
      </c>
      <c r="BA58" s="138">
        <v>0.77</v>
      </c>
      <c r="BB58" s="138">
        <v>8.2000000000000003E-2</v>
      </c>
      <c r="BC58" s="138">
        <v>0.80800000000000005</v>
      </c>
      <c r="BD58" s="138">
        <v>8.6999999999999994E-2</v>
      </c>
      <c r="BE58" s="138">
        <v>0.78100000000000003</v>
      </c>
      <c r="BF58" s="138">
        <v>8.4000000000000005E-2</v>
      </c>
      <c r="BG58" s="138">
        <v>0.122</v>
      </c>
      <c r="BH58" s="138">
        <v>3.1E-2</v>
      </c>
    </row>
    <row r="59" spans="1:60" x14ac:dyDescent="0.2">
      <c r="A59" s="22">
        <v>56</v>
      </c>
      <c r="B59" s="21" t="s">
        <v>109</v>
      </c>
      <c r="C59" s="45"/>
      <c r="D59" s="141">
        <v>44501</v>
      </c>
      <c r="E59" s="1" t="s">
        <v>84</v>
      </c>
      <c r="F59" s="109" t="s">
        <v>62</v>
      </c>
      <c r="G59" s="8" t="s">
        <v>1</v>
      </c>
      <c r="H59" s="17" t="s">
        <v>2</v>
      </c>
      <c r="I59" s="74" t="s">
        <v>83</v>
      </c>
      <c r="J59" s="17" t="s">
        <v>279</v>
      </c>
      <c r="K59" s="17" t="s">
        <v>3</v>
      </c>
      <c r="L59" s="22" t="s">
        <v>0</v>
      </c>
      <c r="M59" s="124">
        <v>46</v>
      </c>
      <c r="N59" s="117">
        <v>1.5</v>
      </c>
      <c r="O59" s="25">
        <f t="shared" si="11"/>
        <v>20.444444444444443</v>
      </c>
      <c r="P59" s="17">
        <v>1</v>
      </c>
      <c r="Q59" s="131">
        <v>3.49</v>
      </c>
      <c r="R59" s="27">
        <f t="shared" si="12"/>
        <v>1.1461318051575931</v>
      </c>
      <c r="S59" s="2" t="s">
        <v>0</v>
      </c>
      <c r="T59" s="18" t="s">
        <v>84</v>
      </c>
      <c r="U59" s="23" t="str">
        <f t="shared" si="7"/>
        <v>NO</v>
      </c>
      <c r="V59" s="124">
        <v>8.6</v>
      </c>
      <c r="W59" s="23" t="str">
        <f t="shared" si="6"/>
        <v>YES</v>
      </c>
      <c r="X59" s="66" t="s">
        <v>84</v>
      </c>
      <c r="Y59" s="23">
        <f t="shared" si="8"/>
        <v>3</v>
      </c>
      <c r="Z59" s="13">
        <v>4</v>
      </c>
      <c r="AA59" s="28">
        <f t="shared" si="9"/>
        <v>4</v>
      </c>
      <c r="AB59" s="17">
        <v>0</v>
      </c>
      <c r="AC59" s="24">
        <f t="shared" si="10"/>
        <v>8</v>
      </c>
      <c r="AD59" s="117">
        <v>10.029999999999999</v>
      </c>
      <c r="AE59" s="5">
        <v>12</v>
      </c>
      <c r="AF59" s="138">
        <v>688.14599999999996</v>
      </c>
      <c r="AG59" s="137">
        <v>646.96400000000006</v>
      </c>
      <c r="AH59" s="32">
        <v>571</v>
      </c>
      <c r="AI59" s="138">
        <v>1.137</v>
      </c>
      <c r="AJ59" s="138">
        <v>4.2999999999999997E-2</v>
      </c>
      <c r="AK59" s="137">
        <v>11.69</v>
      </c>
      <c r="AL59" s="137">
        <v>0.93</v>
      </c>
      <c r="AM59" s="137">
        <v>38.369999999999997</v>
      </c>
      <c r="AN59" s="137">
        <v>1.59</v>
      </c>
      <c r="AO59" s="137">
        <v>18.46</v>
      </c>
      <c r="AP59" s="137">
        <v>0.76</v>
      </c>
      <c r="AQ59" s="137">
        <v>31.39</v>
      </c>
      <c r="AR59" s="137">
        <v>1.3</v>
      </c>
      <c r="AS59" s="137">
        <v>-63.829000000000001</v>
      </c>
      <c r="AT59" s="137">
        <v>2.82</v>
      </c>
      <c r="AU59" s="137">
        <v>17.503</v>
      </c>
      <c r="AV59" s="137">
        <v>1.6759999999999999</v>
      </c>
      <c r="AW59" s="137">
        <v>52.798000000000002</v>
      </c>
      <c r="AX59" s="137">
        <v>2.1</v>
      </c>
      <c r="AY59" s="138">
        <v>1.1180000000000001</v>
      </c>
      <c r="AZ59" s="138">
        <v>6.4000000000000001E-2</v>
      </c>
      <c r="BA59" s="138">
        <v>1.214</v>
      </c>
      <c r="BB59" s="138">
        <v>4.3999999999999997E-2</v>
      </c>
      <c r="BC59" s="138">
        <v>1.2669999999999999</v>
      </c>
      <c r="BD59" s="138">
        <v>4.4999999999999998E-2</v>
      </c>
      <c r="BE59" s="138">
        <v>1.2290000000000001</v>
      </c>
      <c r="BF59" s="138">
        <v>4.3999999999999997E-2</v>
      </c>
      <c r="BG59" s="138">
        <v>8.4000000000000005E-2</v>
      </c>
      <c r="BH59" s="138">
        <v>0.02</v>
      </c>
    </row>
    <row r="60" spans="1:60" x14ac:dyDescent="0.2">
      <c r="A60" s="22">
        <v>57</v>
      </c>
      <c r="B60" s="21" t="s">
        <v>160</v>
      </c>
      <c r="C60" s="45"/>
      <c r="D60" s="141">
        <v>44501</v>
      </c>
      <c r="E60" s="1" t="s">
        <v>84</v>
      </c>
      <c r="F60" s="109" t="s">
        <v>62</v>
      </c>
      <c r="G60" s="8" t="s">
        <v>11</v>
      </c>
      <c r="H60" s="17" t="s">
        <v>2</v>
      </c>
      <c r="I60" s="74" t="s">
        <v>83</v>
      </c>
      <c r="J60" s="17" t="s">
        <v>280</v>
      </c>
      <c r="K60" s="17" t="s">
        <v>3</v>
      </c>
      <c r="L60" s="22" t="s">
        <v>0</v>
      </c>
      <c r="M60" s="124">
        <v>55</v>
      </c>
      <c r="N60" s="117">
        <v>1.58</v>
      </c>
      <c r="O60" s="25">
        <f t="shared" si="11"/>
        <v>22.031725684986377</v>
      </c>
      <c r="P60" s="17">
        <v>1</v>
      </c>
      <c r="Q60" s="131">
        <v>3.08</v>
      </c>
      <c r="R60" s="27">
        <f t="shared" si="12"/>
        <v>1.2987012987012987</v>
      </c>
      <c r="S60" s="2" t="s">
        <v>0</v>
      </c>
      <c r="T60" s="18" t="s">
        <v>0</v>
      </c>
      <c r="U60" s="23" t="str">
        <f t="shared" si="7"/>
        <v>NO</v>
      </c>
      <c r="V60" s="124">
        <v>18.100000000000001</v>
      </c>
      <c r="W60" s="23" t="str">
        <f t="shared" si="6"/>
        <v>NO</v>
      </c>
      <c r="X60" s="18" t="s">
        <v>0</v>
      </c>
      <c r="Y60" s="23">
        <f t="shared" si="8"/>
        <v>0</v>
      </c>
      <c r="Z60" s="13">
        <v>4</v>
      </c>
      <c r="AA60" s="28">
        <f t="shared" si="9"/>
        <v>4</v>
      </c>
      <c r="AB60" s="17">
        <v>3</v>
      </c>
      <c r="AC60" s="24">
        <f t="shared" si="10"/>
        <v>11</v>
      </c>
      <c r="AD60" s="117">
        <v>7.74</v>
      </c>
      <c r="AE60" s="5">
        <v>7</v>
      </c>
      <c r="AF60" s="138">
        <v>2366.7849999999999</v>
      </c>
      <c r="AG60" s="137">
        <v>1804</v>
      </c>
      <c r="AH60" s="32">
        <v>1743</v>
      </c>
      <c r="AI60" s="138">
        <v>1.036</v>
      </c>
      <c r="AJ60" s="138">
        <v>2.4E-2</v>
      </c>
      <c r="AK60" s="137">
        <v>13.68</v>
      </c>
      <c r="AL60" s="137">
        <v>1.6</v>
      </c>
      <c r="AM60" s="137">
        <v>37.479999999999997</v>
      </c>
      <c r="AN60" s="137">
        <v>1.64</v>
      </c>
      <c r="AO60" s="137">
        <v>15.98</v>
      </c>
      <c r="AP60" s="137">
        <v>0.75</v>
      </c>
      <c r="AQ60" s="137">
        <v>32.85</v>
      </c>
      <c r="AR60" s="137">
        <v>0.87</v>
      </c>
      <c r="AS60" s="137">
        <v>-67.566999999999993</v>
      </c>
      <c r="AT60" s="137">
        <v>3.3370000000000002</v>
      </c>
      <c r="AU60" s="137">
        <v>24.523</v>
      </c>
      <c r="AV60" s="137">
        <v>1.962</v>
      </c>
      <c r="AW60" s="137">
        <v>57.968000000000004</v>
      </c>
      <c r="AX60" s="137">
        <v>1.3140000000000001</v>
      </c>
      <c r="AY60" s="138">
        <v>1.363</v>
      </c>
      <c r="AZ60" s="138">
        <v>5.0999999999999997E-2</v>
      </c>
      <c r="BA60" s="138">
        <v>1.359</v>
      </c>
      <c r="BB60" s="138">
        <v>4.3999999999999997E-2</v>
      </c>
      <c r="BC60" s="138">
        <v>1.41</v>
      </c>
      <c r="BD60" s="138">
        <v>4.3999999999999997E-2</v>
      </c>
      <c r="BE60" s="138">
        <v>1.373</v>
      </c>
      <c r="BF60" s="138">
        <v>4.2999999999999997E-2</v>
      </c>
      <c r="BG60" s="138">
        <v>0.13700000000000001</v>
      </c>
      <c r="BH60" s="138">
        <v>3.5999999999999997E-2</v>
      </c>
    </row>
    <row r="61" spans="1:60" x14ac:dyDescent="0.2">
      <c r="A61" s="22">
        <v>58</v>
      </c>
      <c r="B61" s="21" t="s">
        <v>161</v>
      </c>
      <c r="C61" s="45"/>
      <c r="D61" s="141">
        <v>44501</v>
      </c>
      <c r="E61" s="1" t="s">
        <v>84</v>
      </c>
      <c r="F61" s="109" t="s">
        <v>62</v>
      </c>
      <c r="G61" s="110" t="s">
        <v>11</v>
      </c>
      <c r="H61" s="2" t="s">
        <v>80</v>
      </c>
      <c r="I61" s="74" t="s">
        <v>83</v>
      </c>
      <c r="J61" s="2" t="s">
        <v>282</v>
      </c>
      <c r="K61" s="2" t="s">
        <v>3</v>
      </c>
      <c r="L61" s="22" t="s">
        <v>0</v>
      </c>
      <c r="M61" s="123">
        <v>63.2</v>
      </c>
      <c r="N61" s="116">
        <v>1.47</v>
      </c>
      <c r="O61" s="25">
        <f t="shared" si="11"/>
        <v>29.24707297885141</v>
      </c>
      <c r="P61" s="2">
        <v>1</v>
      </c>
      <c r="Q61" s="130">
        <v>5.3</v>
      </c>
      <c r="R61" s="27">
        <f t="shared" si="12"/>
        <v>0.75471698113207553</v>
      </c>
      <c r="S61" s="2" t="s">
        <v>0</v>
      </c>
      <c r="T61" s="66" t="s">
        <v>84</v>
      </c>
      <c r="U61" s="23" t="str">
        <f t="shared" si="7"/>
        <v>NO</v>
      </c>
      <c r="V61" s="123">
        <v>12.6</v>
      </c>
      <c r="W61" s="23" t="str">
        <f t="shared" si="6"/>
        <v>NO</v>
      </c>
      <c r="X61" s="66" t="s">
        <v>84</v>
      </c>
      <c r="Y61" s="23">
        <f t="shared" si="8"/>
        <v>2</v>
      </c>
      <c r="Z61" s="11">
        <v>2</v>
      </c>
      <c r="AA61" s="28">
        <f t="shared" si="9"/>
        <v>3</v>
      </c>
      <c r="AB61" s="2">
        <v>1</v>
      </c>
      <c r="AC61" s="24">
        <f t="shared" si="10"/>
        <v>6</v>
      </c>
      <c r="AD61" s="116">
        <v>17.14</v>
      </c>
      <c r="AE61" s="5">
        <v>10</v>
      </c>
      <c r="AF61" s="138">
        <v>806.98800000000006</v>
      </c>
      <c r="AG61" s="137">
        <v>1175.694</v>
      </c>
      <c r="AH61" s="32">
        <v>1040</v>
      </c>
      <c r="AI61" s="138">
        <v>1.1559999999999999</v>
      </c>
      <c r="AJ61" s="138">
        <v>0.114</v>
      </c>
      <c r="AK61" s="137">
        <v>12.66</v>
      </c>
      <c r="AL61" s="137">
        <v>2.23</v>
      </c>
      <c r="AM61" s="137">
        <v>40.39</v>
      </c>
      <c r="AN61" s="137">
        <v>3.65</v>
      </c>
      <c r="AO61" s="137">
        <v>18.649999999999999</v>
      </c>
      <c r="AP61" s="137">
        <v>1.87</v>
      </c>
      <c r="AQ61" s="137">
        <v>28.05</v>
      </c>
      <c r="AR61" s="137">
        <v>2.73</v>
      </c>
      <c r="AS61" s="137">
        <v>-35.168999999999997</v>
      </c>
      <c r="AT61" s="137">
        <v>6.7469999999999999</v>
      </c>
      <c r="AU61" s="137">
        <v>11.795999999999999</v>
      </c>
      <c r="AV61" s="137">
        <v>2.6869999999999998</v>
      </c>
      <c r="AW61" s="137">
        <v>52.045999999999999</v>
      </c>
      <c r="AX61" s="137">
        <v>5.4119999999999999</v>
      </c>
      <c r="AY61" s="138">
        <v>0.79500000000000004</v>
      </c>
      <c r="AZ61" s="138">
        <v>0.105</v>
      </c>
      <c r="BA61" s="138">
        <v>0.80100000000000005</v>
      </c>
      <c r="BB61" s="138">
        <v>0.105</v>
      </c>
      <c r="BC61" s="138">
        <v>0.90800000000000003</v>
      </c>
      <c r="BD61" s="138">
        <v>9.0999999999999998E-2</v>
      </c>
      <c r="BE61" s="138">
        <v>0.83399999999999996</v>
      </c>
      <c r="BF61" s="138">
        <v>0.10299999999999999</v>
      </c>
      <c r="BG61" s="138">
        <v>0.218</v>
      </c>
      <c r="BH61" s="138">
        <v>6.2E-2</v>
      </c>
    </row>
    <row r="62" spans="1:60" x14ac:dyDescent="0.2">
      <c r="A62" s="22">
        <v>59</v>
      </c>
      <c r="B62" s="21" t="s">
        <v>162</v>
      </c>
      <c r="C62" s="45"/>
      <c r="D62" s="141">
        <v>44501</v>
      </c>
      <c r="E62" s="1" t="s">
        <v>84</v>
      </c>
      <c r="F62" s="109" t="s">
        <v>62</v>
      </c>
      <c r="G62" s="110" t="s">
        <v>1</v>
      </c>
      <c r="H62" s="2" t="s">
        <v>80</v>
      </c>
      <c r="I62" s="74" t="s">
        <v>83</v>
      </c>
      <c r="J62" s="2" t="s">
        <v>284</v>
      </c>
      <c r="K62" s="2" t="s">
        <v>3</v>
      </c>
      <c r="L62" s="22" t="s">
        <v>0</v>
      </c>
      <c r="M62" s="123">
        <v>51.7</v>
      </c>
      <c r="N62" s="116">
        <v>1.48</v>
      </c>
      <c r="O62" s="25">
        <f t="shared" si="11"/>
        <v>23.602994886778674</v>
      </c>
      <c r="P62" s="2">
        <v>5</v>
      </c>
      <c r="Q62" s="130">
        <v>9.0299999999999994</v>
      </c>
      <c r="R62" s="27">
        <f t="shared" si="12"/>
        <v>0.44296788482834998</v>
      </c>
      <c r="S62" s="2" t="s">
        <v>84</v>
      </c>
      <c r="T62" s="66" t="s">
        <v>84</v>
      </c>
      <c r="U62" s="23" t="str">
        <f t="shared" si="7"/>
        <v>NO</v>
      </c>
      <c r="V62" s="123">
        <v>10</v>
      </c>
      <c r="W62" s="23" t="str">
        <f t="shared" si="6"/>
        <v>YES</v>
      </c>
      <c r="X62" s="66" t="s">
        <v>84</v>
      </c>
      <c r="Y62" s="23">
        <f t="shared" si="8"/>
        <v>4</v>
      </c>
      <c r="Z62" s="11">
        <v>2</v>
      </c>
      <c r="AA62" s="28">
        <f t="shared" si="9"/>
        <v>1</v>
      </c>
      <c r="AB62" s="2">
        <v>1</v>
      </c>
      <c r="AC62" s="24">
        <f t="shared" si="10"/>
        <v>4</v>
      </c>
      <c r="AD62" s="116" t="s">
        <v>105</v>
      </c>
      <c r="AE62" s="5">
        <v>24</v>
      </c>
      <c r="AF62" s="138">
        <v>248.97</v>
      </c>
      <c r="AG62" s="137">
        <v>450.79300000000001</v>
      </c>
      <c r="AH62" s="32">
        <v>288</v>
      </c>
      <c r="AI62" s="138">
        <v>1.639</v>
      </c>
      <c r="AJ62" s="138">
        <v>0.15</v>
      </c>
      <c r="AK62" s="137">
        <v>11.36</v>
      </c>
      <c r="AL62" s="137">
        <v>1.72</v>
      </c>
      <c r="AM62" s="137">
        <v>42.55</v>
      </c>
      <c r="AN62" s="137">
        <v>3.84</v>
      </c>
      <c r="AO62" s="137">
        <v>18.22</v>
      </c>
      <c r="AP62" s="137">
        <v>1.61</v>
      </c>
      <c r="AQ62" s="137">
        <v>27.38</v>
      </c>
      <c r="AR62" s="137">
        <v>2.5299999999999998</v>
      </c>
      <c r="AS62" s="137">
        <v>-51.491999999999997</v>
      </c>
      <c r="AT62" s="137">
        <v>4.0750000000000002</v>
      </c>
      <c r="AU62" s="137">
        <v>19.119</v>
      </c>
      <c r="AV62" s="137">
        <v>3.2480000000000002</v>
      </c>
      <c r="AW62" s="137">
        <v>36.543999999999997</v>
      </c>
      <c r="AX62" s="137">
        <v>3.8959999999999999</v>
      </c>
      <c r="AY62" s="138">
        <v>0.58699999999999997</v>
      </c>
      <c r="AZ62" s="138">
        <v>9.7000000000000003E-2</v>
      </c>
      <c r="BA62" s="138">
        <v>0.88600000000000001</v>
      </c>
      <c r="BB62" s="138">
        <v>0.106</v>
      </c>
      <c r="BC62" s="138">
        <v>0.94199999999999995</v>
      </c>
      <c r="BD62" s="138">
        <v>0.112</v>
      </c>
      <c r="BE62" s="138">
        <v>0.91400000000000003</v>
      </c>
      <c r="BF62" s="138">
        <v>0.108</v>
      </c>
      <c r="BG62" s="138">
        <v>6.8000000000000005E-2</v>
      </c>
      <c r="BH62" s="138">
        <v>2.1000000000000001E-2</v>
      </c>
    </row>
    <row r="63" spans="1:60" x14ac:dyDescent="0.2">
      <c r="A63" s="22">
        <v>60</v>
      </c>
      <c r="B63" s="21" t="s">
        <v>163</v>
      </c>
      <c r="C63" s="45"/>
      <c r="D63" s="141">
        <v>44501</v>
      </c>
      <c r="E63" s="1" t="s">
        <v>84</v>
      </c>
      <c r="F63" s="109" t="s">
        <v>62</v>
      </c>
      <c r="G63" s="110" t="s">
        <v>1</v>
      </c>
      <c r="H63" s="2" t="s">
        <v>80</v>
      </c>
      <c r="I63" s="74" t="s">
        <v>83</v>
      </c>
      <c r="J63" s="2" t="s">
        <v>280</v>
      </c>
      <c r="K63" s="2" t="s">
        <v>3</v>
      </c>
      <c r="L63" s="22" t="s">
        <v>0</v>
      </c>
      <c r="M63" s="123">
        <v>58</v>
      </c>
      <c r="N63" s="116">
        <v>1.56</v>
      </c>
      <c r="O63" s="25">
        <f t="shared" si="11"/>
        <v>23.83300460223537</v>
      </c>
      <c r="P63" s="2">
        <v>3</v>
      </c>
      <c r="Q63" s="130">
        <v>5.0599999999999996</v>
      </c>
      <c r="R63" s="27">
        <f t="shared" si="12"/>
        <v>0.79051383399209496</v>
      </c>
      <c r="S63" s="2" t="s">
        <v>0</v>
      </c>
      <c r="T63" s="66" t="s">
        <v>84</v>
      </c>
      <c r="U63" s="23" t="str">
        <f t="shared" si="7"/>
        <v>NO</v>
      </c>
      <c r="V63" s="123">
        <v>18</v>
      </c>
      <c r="W63" s="23" t="str">
        <f t="shared" si="6"/>
        <v>NO</v>
      </c>
      <c r="X63" s="66" t="s">
        <v>84</v>
      </c>
      <c r="Y63" s="23">
        <f t="shared" si="8"/>
        <v>2</v>
      </c>
      <c r="Z63" s="11">
        <v>3</v>
      </c>
      <c r="AA63" s="28">
        <f t="shared" si="9"/>
        <v>3</v>
      </c>
      <c r="AB63" s="2">
        <v>4</v>
      </c>
      <c r="AC63" s="24">
        <f t="shared" si="10"/>
        <v>10</v>
      </c>
      <c r="AD63" s="116">
        <v>11.95</v>
      </c>
      <c r="AE63" s="5">
        <v>21</v>
      </c>
      <c r="AF63" s="138">
        <v>959.05799999999999</v>
      </c>
      <c r="AG63" s="137">
        <v>1051.133</v>
      </c>
      <c r="AH63" s="32">
        <v>884</v>
      </c>
      <c r="AI63" s="138">
        <v>1.2070000000000001</v>
      </c>
      <c r="AJ63" s="138">
        <v>8.4000000000000005E-2</v>
      </c>
      <c r="AK63" s="137">
        <v>13.52</v>
      </c>
      <c r="AL63" s="137">
        <v>1.53</v>
      </c>
      <c r="AM63" s="137">
        <v>35.43</v>
      </c>
      <c r="AN63" s="137">
        <v>3.06</v>
      </c>
      <c r="AO63" s="137">
        <v>18.87</v>
      </c>
      <c r="AP63" s="137">
        <v>1.84</v>
      </c>
      <c r="AQ63" s="137">
        <v>31.95</v>
      </c>
      <c r="AR63" s="137">
        <v>2.12</v>
      </c>
      <c r="AS63" s="137">
        <v>-58.628</v>
      </c>
      <c r="AT63" s="137">
        <v>5.1589999999999998</v>
      </c>
      <c r="AU63" s="137">
        <v>19.492999999999999</v>
      </c>
      <c r="AV63" s="137">
        <v>2.6070000000000002</v>
      </c>
      <c r="AW63" s="137">
        <v>49.734999999999999</v>
      </c>
      <c r="AX63" s="137">
        <v>3.544</v>
      </c>
      <c r="AY63" s="138">
        <v>1.022</v>
      </c>
      <c r="AZ63" s="138">
        <v>9.9000000000000005E-2</v>
      </c>
      <c r="BA63" s="138">
        <v>1.1299999999999999</v>
      </c>
      <c r="BB63" s="138">
        <v>0.112</v>
      </c>
      <c r="BC63" s="138">
        <v>1.2270000000000001</v>
      </c>
      <c r="BD63" s="138">
        <v>9.9000000000000005E-2</v>
      </c>
      <c r="BE63" s="138">
        <v>1.147</v>
      </c>
      <c r="BF63" s="138">
        <v>0.114</v>
      </c>
      <c r="BG63" s="138">
        <v>0.20300000000000001</v>
      </c>
      <c r="BH63" s="138">
        <v>5.8000000000000003E-2</v>
      </c>
    </row>
    <row r="64" spans="1:60" x14ac:dyDescent="0.2">
      <c r="A64" s="22">
        <v>61</v>
      </c>
      <c r="B64" s="21" t="s">
        <v>164</v>
      </c>
      <c r="C64" s="45"/>
      <c r="D64" s="141">
        <v>44501</v>
      </c>
      <c r="E64" s="1" t="s">
        <v>84</v>
      </c>
      <c r="F64" s="109" t="s">
        <v>62</v>
      </c>
      <c r="G64" s="110" t="s">
        <v>4</v>
      </c>
      <c r="H64" s="2" t="s">
        <v>80</v>
      </c>
      <c r="I64" s="74" t="s">
        <v>83</v>
      </c>
      <c r="J64" s="2" t="s">
        <v>280</v>
      </c>
      <c r="K64" s="2" t="s">
        <v>3</v>
      </c>
      <c r="L64" s="22" t="s">
        <v>0</v>
      </c>
      <c r="M64" s="123">
        <v>44</v>
      </c>
      <c r="N64" s="116">
        <v>1.57</v>
      </c>
      <c r="O64" s="25">
        <f t="shared" si="11"/>
        <v>17.850622743316158</v>
      </c>
      <c r="P64" s="2">
        <v>1</v>
      </c>
      <c r="Q64" s="130">
        <v>6.3</v>
      </c>
      <c r="R64" s="27">
        <f t="shared" si="12"/>
        <v>0.63492063492063489</v>
      </c>
      <c r="S64" s="2" t="s">
        <v>0</v>
      </c>
      <c r="T64" s="66" t="s">
        <v>0</v>
      </c>
      <c r="U64" s="23" t="str">
        <f t="shared" si="7"/>
        <v>NO</v>
      </c>
      <c r="V64" s="123">
        <v>18</v>
      </c>
      <c r="W64" s="23" t="str">
        <f t="shared" si="6"/>
        <v>NO</v>
      </c>
      <c r="X64" s="66" t="s">
        <v>84</v>
      </c>
      <c r="Y64" s="23">
        <f t="shared" si="8"/>
        <v>1</v>
      </c>
      <c r="Z64" s="11">
        <v>2</v>
      </c>
      <c r="AA64" s="28">
        <f t="shared" si="9"/>
        <v>2</v>
      </c>
      <c r="AB64" s="2">
        <v>4</v>
      </c>
      <c r="AC64" s="24">
        <f t="shared" si="10"/>
        <v>8</v>
      </c>
      <c r="AD64" s="116">
        <v>16</v>
      </c>
      <c r="AE64" s="5">
        <v>9</v>
      </c>
      <c r="AF64" s="138">
        <v>358.49299999999999</v>
      </c>
      <c r="AG64" s="137">
        <v>590.16200000000003</v>
      </c>
      <c r="AH64" s="32">
        <v>485</v>
      </c>
      <c r="AI64" s="138">
        <v>1.23</v>
      </c>
      <c r="AJ64" s="138">
        <v>9.4E-2</v>
      </c>
      <c r="AK64" s="137">
        <v>12.04</v>
      </c>
      <c r="AL64" s="137">
        <v>1.96</v>
      </c>
      <c r="AM64" s="137">
        <v>39.36</v>
      </c>
      <c r="AN64" s="137">
        <v>4.16</v>
      </c>
      <c r="AO64" s="137">
        <v>18.53</v>
      </c>
      <c r="AP64" s="137">
        <v>1.76</v>
      </c>
      <c r="AQ64" s="137">
        <v>29.97</v>
      </c>
      <c r="AR64" s="137">
        <v>2.56</v>
      </c>
      <c r="AS64" s="137">
        <v>-41.607999999999997</v>
      </c>
      <c r="AT64" s="137">
        <v>4.4779999999999998</v>
      </c>
      <c r="AU64" s="137">
        <v>14.762</v>
      </c>
      <c r="AV64" s="137">
        <v>2.3559999999999999</v>
      </c>
      <c r="AW64" s="137">
        <v>48.878999999999998</v>
      </c>
      <c r="AX64" s="137">
        <v>3.9550000000000001</v>
      </c>
      <c r="AY64" s="138">
        <v>0.67100000000000004</v>
      </c>
      <c r="AZ64" s="138">
        <v>8.3000000000000004E-2</v>
      </c>
      <c r="BA64" s="138">
        <v>0.78300000000000003</v>
      </c>
      <c r="BB64" s="138">
        <v>8.2000000000000003E-2</v>
      </c>
      <c r="BC64" s="138">
        <v>0.81599999999999995</v>
      </c>
      <c r="BD64" s="138">
        <v>8.5000000000000006E-2</v>
      </c>
      <c r="BE64" s="138">
        <v>0.78800000000000003</v>
      </c>
      <c r="BF64" s="138">
        <v>8.2000000000000003E-2</v>
      </c>
      <c r="BG64" s="138">
        <v>6.8000000000000005E-2</v>
      </c>
      <c r="BH64" s="138">
        <v>1.9E-2</v>
      </c>
    </row>
    <row r="65" spans="1:60" x14ac:dyDescent="0.2">
      <c r="A65" s="22">
        <v>62</v>
      </c>
      <c r="B65" s="21" t="s">
        <v>165</v>
      </c>
      <c r="C65" s="45"/>
      <c r="D65" s="141">
        <v>44501</v>
      </c>
      <c r="E65" s="1" t="s">
        <v>84</v>
      </c>
      <c r="F65" s="109" t="s">
        <v>62</v>
      </c>
      <c r="G65" s="110" t="s">
        <v>4</v>
      </c>
      <c r="H65" s="2" t="s">
        <v>80</v>
      </c>
      <c r="I65" s="74" t="s">
        <v>83</v>
      </c>
      <c r="J65" s="2" t="s">
        <v>284</v>
      </c>
      <c r="K65" s="2" t="s">
        <v>3</v>
      </c>
      <c r="L65" s="22" t="s">
        <v>0</v>
      </c>
      <c r="M65" s="123">
        <v>75.5</v>
      </c>
      <c r="N65" s="116">
        <v>1.49</v>
      </c>
      <c r="O65" s="25">
        <f t="shared" si="11"/>
        <v>34.007477140669337</v>
      </c>
      <c r="P65" s="2">
        <v>3</v>
      </c>
      <c r="Q65" s="130">
        <v>13.4</v>
      </c>
      <c r="R65" s="27">
        <f t="shared" si="12"/>
        <v>0.29850746268656714</v>
      </c>
      <c r="S65" s="2" t="s">
        <v>0</v>
      </c>
      <c r="T65" s="66" t="s">
        <v>84</v>
      </c>
      <c r="U65" s="23" t="str">
        <f t="shared" si="7"/>
        <v>YES</v>
      </c>
      <c r="V65" s="123">
        <v>16</v>
      </c>
      <c r="W65" s="23" t="str">
        <f t="shared" si="6"/>
        <v>NO</v>
      </c>
      <c r="X65" s="18" t="s">
        <v>0</v>
      </c>
      <c r="Y65" s="23">
        <f t="shared" si="8"/>
        <v>2</v>
      </c>
      <c r="Z65" s="11">
        <v>2</v>
      </c>
      <c r="AA65" s="28">
        <f t="shared" si="9"/>
        <v>1</v>
      </c>
      <c r="AB65" s="2">
        <v>2</v>
      </c>
      <c r="AC65" s="24">
        <f t="shared" si="10"/>
        <v>5</v>
      </c>
      <c r="AD65" s="116">
        <v>31.74</v>
      </c>
      <c r="AE65" s="5">
        <v>13</v>
      </c>
      <c r="AF65" s="138">
        <v>159.58500000000001</v>
      </c>
      <c r="AG65" s="137">
        <v>571.06899999999996</v>
      </c>
      <c r="AH65" s="32">
        <v>361</v>
      </c>
      <c r="AI65" s="138">
        <v>1.736</v>
      </c>
      <c r="AJ65" s="138">
        <v>0.28100000000000003</v>
      </c>
      <c r="AK65" s="137">
        <v>11.25</v>
      </c>
      <c r="AL65" s="137">
        <v>2.35</v>
      </c>
      <c r="AM65" s="137">
        <v>61.67</v>
      </c>
      <c r="AN65" s="137">
        <v>9.31</v>
      </c>
      <c r="AO65" s="137">
        <v>8.14</v>
      </c>
      <c r="AP65" s="137">
        <v>2.0499999999999998</v>
      </c>
      <c r="AQ65" s="137">
        <v>19.190000000000001</v>
      </c>
      <c r="AR65" s="137">
        <v>3.17</v>
      </c>
      <c r="AS65" s="137">
        <v>-19.164000000000001</v>
      </c>
      <c r="AT65" s="137">
        <v>4.7290000000000001</v>
      </c>
      <c r="AU65" s="137">
        <v>10.57</v>
      </c>
      <c r="AV65" s="137">
        <v>1.992</v>
      </c>
      <c r="AW65" s="137">
        <v>34.159999999999997</v>
      </c>
      <c r="AX65" s="137">
        <v>5.4859999999999998</v>
      </c>
      <c r="AY65" s="138">
        <v>0.3</v>
      </c>
      <c r="AZ65" s="138">
        <v>6.3E-2</v>
      </c>
      <c r="BA65" s="138">
        <v>0.49</v>
      </c>
      <c r="BB65" s="138">
        <v>7.9000000000000001E-2</v>
      </c>
      <c r="BC65" s="138">
        <v>0.53200000000000003</v>
      </c>
      <c r="BD65" s="138">
        <v>8.2000000000000003E-2</v>
      </c>
      <c r="BE65" s="138">
        <v>0.50900000000000001</v>
      </c>
      <c r="BF65" s="138">
        <v>7.9000000000000001E-2</v>
      </c>
      <c r="BG65" s="138">
        <v>4.5999999999999999E-2</v>
      </c>
      <c r="BH65" s="138">
        <v>1.0999999999999999E-2</v>
      </c>
    </row>
    <row r="66" spans="1:60" x14ac:dyDescent="0.2">
      <c r="A66" s="22">
        <v>63</v>
      </c>
      <c r="B66" s="21" t="s">
        <v>166</v>
      </c>
      <c r="C66" s="45"/>
      <c r="D66" s="141">
        <v>44501</v>
      </c>
      <c r="E66" s="1" t="s">
        <v>84</v>
      </c>
      <c r="F66" s="109" t="s">
        <v>62</v>
      </c>
      <c r="G66" s="8">
        <v>877</v>
      </c>
      <c r="H66" s="17" t="s">
        <v>2</v>
      </c>
      <c r="I66" s="74" t="s">
        <v>82</v>
      </c>
      <c r="J66" s="17" t="s">
        <v>280</v>
      </c>
      <c r="K66" s="17" t="s">
        <v>5</v>
      </c>
      <c r="L66" s="22" t="s">
        <v>0</v>
      </c>
      <c r="M66" s="124">
        <v>80</v>
      </c>
      <c r="N66" s="117">
        <v>1.74</v>
      </c>
      <c r="O66" s="25">
        <f t="shared" si="11"/>
        <v>26.423569824283259</v>
      </c>
      <c r="P66" s="17">
        <v>1</v>
      </c>
      <c r="Q66" s="131">
        <v>4.6500000000000004</v>
      </c>
      <c r="R66" s="27">
        <f t="shared" si="12"/>
        <v>0.86021505376344076</v>
      </c>
      <c r="S66" s="2" t="s">
        <v>0</v>
      </c>
      <c r="T66" s="18" t="s">
        <v>0</v>
      </c>
      <c r="U66" s="23" t="str">
        <f t="shared" si="7"/>
        <v>NO</v>
      </c>
      <c r="V66" s="124">
        <v>30</v>
      </c>
      <c r="W66" s="23" t="str">
        <f t="shared" si="6"/>
        <v>NO</v>
      </c>
      <c r="X66" s="18" t="s">
        <v>0</v>
      </c>
      <c r="Y66" s="23">
        <f t="shared" si="8"/>
        <v>0</v>
      </c>
      <c r="Z66" s="13">
        <v>2</v>
      </c>
      <c r="AA66" s="28">
        <f t="shared" si="9"/>
        <v>4</v>
      </c>
      <c r="AB66" s="17">
        <v>2</v>
      </c>
      <c r="AC66" s="24">
        <f t="shared" si="10"/>
        <v>8</v>
      </c>
      <c r="AD66" s="117">
        <v>9.3000000000000007</v>
      </c>
      <c r="AE66" s="7">
        <v>14</v>
      </c>
      <c r="AF66" s="138">
        <v>1486.0429999999999</v>
      </c>
      <c r="AG66" s="137">
        <v>1691.394</v>
      </c>
      <c r="AH66" s="32">
        <v>1302</v>
      </c>
      <c r="AI66" s="138">
        <v>1.31</v>
      </c>
      <c r="AJ66" s="138">
        <v>0.10100000000000001</v>
      </c>
      <c r="AK66" s="137">
        <v>11.9</v>
      </c>
      <c r="AL66" s="137">
        <v>1.89</v>
      </c>
      <c r="AM66" s="137">
        <v>38.04</v>
      </c>
      <c r="AN66" s="137">
        <v>3.25</v>
      </c>
      <c r="AO66" s="137">
        <v>19.350000000000001</v>
      </c>
      <c r="AP66" s="137">
        <v>1.46</v>
      </c>
      <c r="AQ66" s="137">
        <v>30.57</v>
      </c>
      <c r="AR66" s="137">
        <v>1.98</v>
      </c>
      <c r="AS66" s="137">
        <v>-64.744</v>
      </c>
      <c r="AT66" s="137">
        <v>5.7910000000000004</v>
      </c>
      <c r="AU66" s="137">
        <v>19.834</v>
      </c>
      <c r="AV66" s="137">
        <v>2.4239999999999999</v>
      </c>
      <c r="AW66" s="137">
        <v>45.997</v>
      </c>
      <c r="AX66" s="137">
        <v>3.6190000000000002</v>
      </c>
      <c r="AY66" s="138">
        <v>0.95199999999999996</v>
      </c>
      <c r="AZ66" s="138">
        <v>0.111</v>
      </c>
      <c r="BA66" s="138">
        <v>1.1559999999999999</v>
      </c>
      <c r="BB66" s="138">
        <v>0.105</v>
      </c>
      <c r="BC66" s="138">
        <v>1.2390000000000001</v>
      </c>
      <c r="BD66" s="138">
        <v>0.107</v>
      </c>
      <c r="BE66" s="138">
        <v>1.1850000000000001</v>
      </c>
      <c r="BF66" s="138">
        <v>0.109</v>
      </c>
      <c r="BG66" s="138">
        <v>0.184</v>
      </c>
      <c r="BH66" s="138">
        <v>5.1999999999999998E-2</v>
      </c>
    </row>
    <row r="67" spans="1:60" x14ac:dyDescent="0.2">
      <c r="A67" s="22">
        <v>64</v>
      </c>
      <c r="B67" s="21" t="s">
        <v>167</v>
      </c>
      <c r="C67" s="45"/>
      <c r="D67" s="141">
        <v>44501</v>
      </c>
      <c r="E67" s="1" t="s">
        <v>84</v>
      </c>
      <c r="F67" s="109" t="s">
        <v>62</v>
      </c>
      <c r="G67" s="110" t="s">
        <v>4</v>
      </c>
      <c r="H67" s="17" t="s">
        <v>2</v>
      </c>
      <c r="I67" s="74" t="s">
        <v>83</v>
      </c>
      <c r="J67" s="2" t="s">
        <v>282</v>
      </c>
      <c r="K67" s="2" t="s">
        <v>3</v>
      </c>
      <c r="L67" s="22" t="s">
        <v>0</v>
      </c>
      <c r="M67" s="123">
        <v>65</v>
      </c>
      <c r="N67" s="116">
        <v>1.4</v>
      </c>
      <c r="O67" s="25">
        <f t="shared" si="11"/>
        <v>33.163265306122454</v>
      </c>
      <c r="P67" s="2">
        <v>4</v>
      </c>
      <c r="Q67" s="130">
        <v>39.11</v>
      </c>
      <c r="R67" s="27">
        <f t="shared" si="12"/>
        <v>0.10227563283047814</v>
      </c>
      <c r="S67" s="2" t="s">
        <v>0</v>
      </c>
      <c r="T67" s="66" t="s">
        <v>84</v>
      </c>
      <c r="U67" s="23" t="str">
        <f t="shared" si="7"/>
        <v>YES</v>
      </c>
      <c r="V67" s="123">
        <v>10</v>
      </c>
      <c r="W67" s="23" t="str">
        <f t="shared" si="6"/>
        <v>YES</v>
      </c>
      <c r="X67" s="18" t="s">
        <v>0</v>
      </c>
      <c r="Y67" s="23">
        <f t="shared" si="8"/>
        <v>3</v>
      </c>
      <c r="Z67" s="11">
        <v>2</v>
      </c>
      <c r="AA67" s="28">
        <f t="shared" si="9"/>
        <v>1</v>
      </c>
      <c r="AB67" s="2">
        <v>1</v>
      </c>
      <c r="AC67" s="24">
        <f t="shared" si="10"/>
        <v>4</v>
      </c>
      <c r="AD67" s="116">
        <v>85</v>
      </c>
      <c r="AE67" s="5">
        <v>19</v>
      </c>
      <c r="AF67" s="138">
        <v>98.677000000000007</v>
      </c>
      <c r="AG67" s="137">
        <v>995.12699999999995</v>
      </c>
      <c r="AH67" s="32">
        <v>435</v>
      </c>
      <c r="AI67" s="138">
        <v>2.488</v>
      </c>
      <c r="AJ67" s="138">
        <v>0.505</v>
      </c>
      <c r="AK67" s="137">
        <v>2.66</v>
      </c>
      <c r="AL67" s="137">
        <v>0.64</v>
      </c>
      <c r="AM67" s="137">
        <v>69.819999999999993</v>
      </c>
      <c r="AN67" s="137">
        <v>12.02</v>
      </c>
      <c r="AO67" s="137">
        <v>18.71</v>
      </c>
      <c r="AP67" s="137">
        <v>5.63</v>
      </c>
      <c r="AQ67" s="137">
        <v>8.07</v>
      </c>
      <c r="AR67" s="137">
        <v>1.81</v>
      </c>
      <c r="AS67" s="137">
        <v>-27.41</v>
      </c>
      <c r="AT67" s="137">
        <v>5.984</v>
      </c>
      <c r="AU67" s="137">
        <v>2.3140000000000001</v>
      </c>
      <c r="AV67" s="137">
        <v>0.67300000000000004</v>
      </c>
      <c r="AW67" s="137">
        <v>24.007999999999999</v>
      </c>
      <c r="AX67" s="137">
        <v>4.7519999999999998</v>
      </c>
      <c r="AY67" s="138">
        <v>0.12</v>
      </c>
      <c r="AZ67" s="138">
        <v>3.1E-2</v>
      </c>
      <c r="BA67" s="138">
        <v>0.29099999999999998</v>
      </c>
      <c r="BB67" s="138">
        <v>6.7000000000000004E-2</v>
      </c>
      <c r="BC67" s="138">
        <v>0.33600000000000002</v>
      </c>
      <c r="BD67" s="138">
        <v>7.0000000000000007E-2</v>
      </c>
      <c r="BE67" s="138">
        <v>0.32900000000000001</v>
      </c>
      <c r="BF67" s="138">
        <v>6.7000000000000004E-2</v>
      </c>
      <c r="BG67" s="138">
        <v>2.4E-2</v>
      </c>
      <c r="BH67" s="138">
        <v>7.0000000000000001E-3</v>
      </c>
    </row>
    <row r="68" spans="1:60" ht="16" x14ac:dyDescent="0.2">
      <c r="A68" s="22">
        <v>65</v>
      </c>
      <c r="B68" s="21" t="s">
        <v>110</v>
      </c>
      <c r="C68" s="45"/>
      <c r="D68" s="141">
        <v>44501</v>
      </c>
      <c r="E68" s="1" t="s">
        <v>84</v>
      </c>
      <c r="F68" s="109" t="s">
        <v>62</v>
      </c>
      <c r="G68" s="112" t="s">
        <v>8</v>
      </c>
      <c r="H68" s="3" t="s">
        <v>80</v>
      </c>
      <c r="I68" s="79" t="s">
        <v>82</v>
      </c>
      <c r="J68" s="3" t="s">
        <v>279</v>
      </c>
      <c r="K68" s="3" t="s">
        <v>5</v>
      </c>
      <c r="L68" s="22" t="s">
        <v>0</v>
      </c>
      <c r="M68" s="128">
        <v>66.3</v>
      </c>
      <c r="N68" s="121">
        <v>1.62</v>
      </c>
      <c r="O68" s="25">
        <f t="shared" si="11"/>
        <v>25.262917238225874</v>
      </c>
      <c r="P68" s="3">
        <v>5</v>
      </c>
      <c r="Q68" s="130">
        <v>5.52</v>
      </c>
      <c r="R68" s="27">
        <f t="shared" si="12"/>
        <v>0.7246376811594204</v>
      </c>
      <c r="S68" s="2" t="s">
        <v>0</v>
      </c>
      <c r="T68" s="70" t="s">
        <v>0</v>
      </c>
      <c r="U68" s="23" t="str">
        <f t="shared" ref="U68:U99" si="13">IF(AND(K68="M",N68&lt;=1.64),IF(R68&lt;0.5,"YES","NO"),"")  &amp;  IF(AND(K68="M",N68&gt;1.64),IF(R68&lt;0.43,"YES","NO"),"") &amp; IF(AND(K68="F",N68&lt;=1.52),IF(R68&lt;0.41,"YES","NO"),"") &amp; IF(AND(K68="F",N68&gt;1.52),IF(R68&lt;0.33,"YES","NO"),"")</f>
        <v>NO</v>
      </c>
      <c r="V68" s="128">
        <v>30</v>
      </c>
      <c r="W68" s="23" t="str">
        <f t="shared" si="6"/>
        <v>NO</v>
      </c>
      <c r="X68" s="18" t="s">
        <v>0</v>
      </c>
      <c r="Y68" s="23">
        <f t="shared" ref="Y68:Y99" si="14">SUM(S68="YES",T68="YES",U68="YES",W68="YES",X68="YES")</f>
        <v>0</v>
      </c>
      <c r="Z68" s="16">
        <v>3</v>
      </c>
      <c r="AA68" s="28">
        <f t="shared" ref="AA68:AA99" si="15">(Q68&lt;&gt;"Incapable")*1+(Q68&lt;8.7)*1+(Q68&lt;6.2)*1+(Q68&lt;4.82)*1</f>
        <v>3</v>
      </c>
      <c r="AB68" s="3">
        <v>3</v>
      </c>
      <c r="AC68" s="24">
        <f t="shared" ref="AC68:AC99" si="16">SUM(Z68:AB68)</f>
        <v>9</v>
      </c>
      <c r="AD68" s="121">
        <v>12.49</v>
      </c>
      <c r="AE68" s="10">
        <v>8</v>
      </c>
      <c r="AF68" s="138">
        <v>1449.11</v>
      </c>
      <c r="AG68" s="137">
        <v>1316.2840000000001</v>
      </c>
      <c r="AH68" s="32">
        <v>1225</v>
      </c>
      <c r="AI68" s="138">
        <v>1.097</v>
      </c>
      <c r="AJ68" s="138">
        <v>7.4999999999999997E-2</v>
      </c>
      <c r="AK68" s="137">
        <v>12.45</v>
      </c>
      <c r="AL68" s="137">
        <v>2.0299999999999998</v>
      </c>
      <c r="AM68" s="137">
        <v>34.64</v>
      </c>
      <c r="AN68" s="137">
        <v>3.59</v>
      </c>
      <c r="AO68" s="137">
        <v>21.01</v>
      </c>
      <c r="AP68" s="137">
        <v>2.16</v>
      </c>
      <c r="AQ68" s="137">
        <v>31.64</v>
      </c>
      <c r="AR68" s="137">
        <v>1.94</v>
      </c>
      <c r="AS68" s="137">
        <v>-64.793000000000006</v>
      </c>
      <c r="AT68" s="137">
        <v>5.3739999999999997</v>
      </c>
      <c r="AU68" s="137">
        <v>18.86</v>
      </c>
      <c r="AV68" s="137">
        <v>3.5640000000000001</v>
      </c>
      <c r="AW68" s="137">
        <v>54.798000000000002</v>
      </c>
      <c r="AX68" s="137">
        <v>3.9260000000000002</v>
      </c>
      <c r="AY68" s="138">
        <v>1.18</v>
      </c>
      <c r="AZ68" s="138">
        <v>0.13200000000000001</v>
      </c>
      <c r="BA68" s="138">
        <v>1.2090000000000001</v>
      </c>
      <c r="BB68" s="138">
        <v>0.11</v>
      </c>
      <c r="BC68" s="138">
        <v>1.282</v>
      </c>
      <c r="BD68" s="138">
        <v>0.112</v>
      </c>
      <c r="BE68" s="138">
        <v>1.2250000000000001</v>
      </c>
      <c r="BF68" s="138">
        <v>0.113</v>
      </c>
      <c r="BG68" s="138">
        <v>0.154</v>
      </c>
      <c r="BH68" s="138">
        <v>4.9000000000000002E-2</v>
      </c>
    </row>
    <row r="69" spans="1:60" ht="16" x14ac:dyDescent="0.2">
      <c r="A69" s="22">
        <v>66</v>
      </c>
      <c r="B69" s="21" t="s">
        <v>168</v>
      </c>
      <c r="C69" s="45"/>
      <c r="D69" s="141">
        <v>44501</v>
      </c>
      <c r="E69" s="1" t="s">
        <v>84</v>
      </c>
      <c r="F69" s="109" t="s">
        <v>62</v>
      </c>
      <c r="G69" s="110" t="s">
        <v>11</v>
      </c>
      <c r="H69" s="3" t="s">
        <v>80</v>
      </c>
      <c r="I69" s="74" t="s">
        <v>83</v>
      </c>
      <c r="J69" s="2" t="s">
        <v>280</v>
      </c>
      <c r="K69" s="2" t="s">
        <v>3</v>
      </c>
      <c r="L69" s="22" t="s">
        <v>0</v>
      </c>
      <c r="M69" s="123">
        <v>58.4</v>
      </c>
      <c r="N69" s="116">
        <v>1.48</v>
      </c>
      <c r="O69" s="25">
        <f t="shared" ref="O69:O100" si="17">IFERROR(M69/(N69^2),"--")</f>
        <v>26.661796932067205</v>
      </c>
      <c r="P69" s="2">
        <v>2</v>
      </c>
      <c r="Q69" s="130">
        <v>5.24</v>
      </c>
      <c r="R69" s="27">
        <f t="shared" ref="R69:R100" si="18">IFERROR(4/Q69,"--")</f>
        <v>0.76335877862595414</v>
      </c>
      <c r="S69" s="2" t="s">
        <v>0</v>
      </c>
      <c r="T69" s="66" t="s">
        <v>0</v>
      </c>
      <c r="U69" s="23" t="str">
        <f t="shared" si="13"/>
        <v>NO</v>
      </c>
      <c r="V69" s="123">
        <v>15</v>
      </c>
      <c r="W69" s="23" t="str">
        <f t="shared" ref="W69:W132" si="19">IF(OR(V69="Incapable",V69="-"),"-",IF(AND(K69="M",O69&lt;=26.4),IF(V69&lt;=19.1,"YES","NO"),"") &amp;  IF(AND(K69="M",O69&gt;26.4),IF(V69&lt;=22.9,"YES","NO"),"")  &amp; IF(AND(K69="F",O69&lt;=26.4),IF(V69&lt;11,"YES","NO"),"") &amp; IF(AND(K69="F",O69&gt;26.4),IF(V69&lt;12,"YES","NO"),""))</f>
        <v>NO</v>
      </c>
      <c r="X69" s="18" t="s">
        <v>0</v>
      </c>
      <c r="Y69" s="23">
        <f t="shared" si="14"/>
        <v>0</v>
      </c>
      <c r="Z69" s="11">
        <v>4</v>
      </c>
      <c r="AA69" s="28">
        <f t="shared" si="15"/>
        <v>3</v>
      </c>
      <c r="AB69" s="2">
        <v>3</v>
      </c>
      <c r="AC69" s="24">
        <f t="shared" si="16"/>
        <v>10</v>
      </c>
      <c r="AD69" s="116">
        <v>14.33</v>
      </c>
      <c r="AE69" s="5">
        <v>8</v>
      </c>
      <c r="AF69" s="138">
        <v>1030.567</v>
      </c>
      <c r="AG69" s="137">
        <v>1252.5139999999999</v>
      </c>
      <c r="AH69" s="32">
        <v>1161</v>
      </c>
      <c r="AI69" s="138">
        <v>1.091</v>
      </c>
      <c r="AJ69" s="138">
        <v>5.8000000000000003E-2</v>
      </c>
      <c r="AK69" s="137">
        <v>9.7899999999999991</v>
      </c>
      <c r="AL69" s="137">
        <v>1.27</v>
      </c>
      <c r="AM69" s="137">
        <v>39.58</v>
      </c>
      <c r="AN69" s="137">
        <v>3.52</v>
      </c>
      <c r="AO69" s="137">
        <v>20.170000000000002</v>
      </c>
      <c r="AP69" s="137">
        <v>2.0099999999999998</v>
      </c>
      <c r="AQ69" s="137">
        <v>30.37</v>
      </c>
      <c r="AR69" s="137">
        <v>1.82</v>
      </c>
      <c r="AS69" s="137">
        <v>-47.667000000000002</v>
      </c>
      <c r="AT69" s="137">
        <v>5.6929999999999996</v>
      </c>
      <c r="AU69" s="137">
        <v>14.212</v>
      </c>
      <c r="AV69" s="137">
        <v>2.7050000000000001</v>
      </c>
      <c r="AW69" s="137">
        <v>54.984000000000002</v>
      </c>
      <c r="AX69" s="137">
        <v>3.254</v>
      </c>
      <c r="AY69" s="138">
        <v>0.877</v>
      </c>
      <c r="AZ69" s="138">
        <v>9.7000000000000003E-2</v>
      </c>
      <c r="BA69" s="138">
        <v>0.91200000000000003</v>
      </c>
      <c r="BB69" s="138">
        <v>8.8999999999999996E-2</v>
      </c>
      <c r="BC69" s="138">
        <v>0.95099999999999996</v>
      </c>
      <c r="BD69" s="138">
        <v>9.2999999999999999E-2</v>
      </c>
      <c r="BE69" s="138">
        <v>0.92100000000000004</v>
      </c>
      <c r="BF69" s="138">
        <v>8.7999999999999995E-2</v>
      </c>
      <c r="BG69" s="138">
        <v>0.13200000000000001</v>
      </c>
      <c r="BH69" s="138">
        <v>3.5000000000000003E-2</v>
      </c>
    </row>
    <row r="70" spans="1:60" ht="16" x14ac:dyDescent="0.2">
      <c r="A70" s="22">
        <v>67</v>
      </c>
      <c r="B70" s="21" t="s">
        <v>169</v>
      </c>
      <c r="C70" s="45"/>
      <c r="D70" s="141">
        <v>44517</v>
      </c>
      <c r="E70" s="1" t="s">
        <v>84</v>
      </c>
      <c r="F70" s="109" t="s">
        <v>62</v>
      </c>
      <c r="G70" s="110" t="s">
        <v>4</v>
      </c>
      <c r="H70" s="3" t="s">
        <v>80</v>
      </c>
      <c r="I70" s="74" t="s">
        <v>83</v>
      </c>
      <c r="J70" s="2" t="s">
        <v>279</v>
      </c>
      <c r="K70" s="2" t="s">
        <v>3</v>
      </c>
      <c r="L70" s="22" t="s">
        <v>84</v>
      </c>
      <c r="M70" s="123">
        <v>58.6</v>
      </c>
      <c r="N70" s="116">
        <v>1.45</v>
      </c>
      <c r="O70" s="25">
        <f t="shared" si="17"/>
        <v>27.871581450653984</v>
      </c>
      <c r="P70" s="2">
        <v>5</v>
      </c>
      <c r="Q70" s="130">
        <v>6.76</v>
      </c>
      <c r="R70" s="27">
        <f t="shared" si="18"/>
        <v>0.59171597633136097</v>
      </c>
      <c r="S70" s="2" t="s">
        <v>0</v>
      </c>
      <c r="T70" s="66" t="s">
        <v>84</v>
      </c>
      <c r="U70" s="23" t="str">
        <f t="shared" si="13"/>
        <v>NO</v>
      </c>
      <c r="V70" s="123">
        <v>14</v>
      </c>
      <c r="W70" s="23" t="str">
        <f t="shared" si="19"/>
        <v>NO</v>
      </c>
      <c r="X70" s="66" t="s">
        <v>84</v>
      </c>
      <c r="Y70" s="23">
        <f t="shared" si="14"/>
        <v>2</v>
      </c>
      <c r="Z70" s="11">
        <v>1</v>
      </c>
      <c r="AA70" s="28">
        <f t="shared" si="15"/>
        <v>2</v>
      </c>
      <c r="AB70" s="2">
        <v>0</v>
      </c>
      <c r="AC70" s="24">
        <f t="shared" si="16"/>
        <v>3</v>
      </c>
      <c r="AD70" s="116">
        <v>29</v>
      </c>
      <c r="AE70" s="5">
        <v>32</v>
      </c>
      <c r="AF70" s="138">
        <v>294.41000000000003</v>
      </c>
      <c r="AG70" s="137">
        <v>545.19299999999998</v>
      </c>
      <c r="AH70" s="32">
        <v>447</v>
      </c>
      <c r="AI70" s="138">
        <v>1.25</v>
      </c>
      <c r="AJ70" s="138">
        <v>0.12</v>
      </c>
      <c r="AK70" s="137">
        <v>9.7899999999999991</v>
      </c>
      <c r="AL70" s="137">
        <v>1.47</v>
      </c>
      <c r="AM70" s="137">
        <v>48.44</v>
      </c>
      <c r="AN70" s="137">
        <v>4.68</v>
      </c>
      <c r="AO70" s="137">
        <v>15.21</v>
      </c>
      <c r="AP70" s="137">
        <v>1.84</v>
      </c>
      <c r="AQ70" s="137">
        <v>26.46</v>
      </c>
      <c r="AR70" s="137">
        <v>2.94</v>
      </c>
      <c r="AS70" s="137">
        <v>-45.381999999999998</v>
      </c>
      <c r="AT70" s="137">
        <v>4.9089999999999998</v>
      </c>
      <c r="AU70" s="137">
        <v>10.147</v>
      </c>
      <c r="AV70" s="137">
        <v>1.85</v>
      </c>
      <c r="AW70" s="137">
        <v>48.029000000000003</v>
      </c>
      <c r="AX70" s="137">
        <v>4.6349999999999998</v>
      </c>
      <c r="AY70" s="138">
        <v>0.621</v>
      </c>
      <c r="AZ70" s="138">
        <v>8.4000000000000005E-2</v>
      </c>
      <c r="BA70" s="138">
        <v>0.70899999999999996</v>
      </c>
      <c r="BB70" s="138">
        <v>8.2000000000000003E-2</v>
      </c>
      <c r="BC70" s="138">
        <v>0.76500000000000001</v>
      </c>
      <c r="BD70" s="138">
        <v>8.5000000000000006E-2</v>
      </c>
      <c r="BE70" s="138">
        <v>0.72199999999999998</v>
      </c>
      <c r="BF70" s="138">
        <v>0.08</v>
      </c>
      <c r="BG70" s="138">
        <v>0.189</v>
      </c>
      <c r="BH70" s="138">
        <v>3.6999999999999998E-2</v>
      </c>
    </row>
    <row r="71" spans="1:60" x14ac:dyDescent="0.2">
      <c r="A71" s="22">
        <v>68</v>
      </c>
      <c r="B71" s="21" t="s">
        <v>170</v>
      </c>
      <c r="C71" s="46"/>
      <c r="D71" s="141">
        <v>44518</v>
      </c>
      <c r="E71" s="17" t="s">
        <v>0</v>
      </c>
      <c r="F71" s="109" t="s">
        <v>62</v>
      </c>
      <c r="G71" s="8" t="s">
        <v>10</v>
      </c>
      <c r="H71" s="17" t="s">
        <v>81</v>
      </c>
      <c r="I71" s="74" t="s">
        <v>82</v>
      </c>
      <c r="J71" s="17" t="s">
        <v>282</v>
      </c>
      <c r="K71" s="17" t="s">
        <v>3</v>
      </c>
      <c r="L71" s="22" t="s">
        <v>84</v>
      </c>
      <c r="M71" s="124">
        <v>63.9</v>
      </c>
      <c r="N71" s="117">
        <v>1.55</v>
      </c>
      <c r="O71" s="25">
        <f t="shared" si="17"/>
        <v>26.597294484911547</v>
      </c>
      <c r="P71" s="17">
        <v>6</v>
      </c>
      <c r="Q71" s="131">
        <v>8.0500000000000007</v>
      </c>
      <c r="R71" s="27">
        <f t="shared" si="18"/>
        <v>0.49689440993788814</v>
      </c>
      <c r="S71" s="2" t="s">
        <v>0</v>
      </c>
      <c r="T71" s="18" t="s">
        <v>0</v>
      </c>
      <c r="U71" s="23" t="str">
        <f t="shared" si="13"/>
        <v>NO</v>
      </c>
      <c r="V71" s="124">
        <v>6</v>
      </c>
      <c r="W71" s="23" t="str">
        <f t="shared" si="19"/>
        <v>YES</v>
      </c>
      <c r="X71" s="18" t="s">
        <v>0</v>
      </c>
      <c r="Y71" s="23">
        <f t="shared" si="14"/>
        <v>1</v>
      </c>
      <c r="Z71" s="13">
        <v>4</v>
      </c>
      <c r="AA71" s="28">
        <f t="shared" si="15"/>
        <v>2</v>
      </c>
      <c r="AB71" s="17">
        <v>2</v>
      </c>
      <c r="AC71" s="24">
        <f t="shared" si="16"/>
        <v>8</v>
      </c>
      <c r="AD71" s="117">
        <v>25.95</v>
      </c>
      <c r="AE71" s="7">
        <v>19</v>
      </c>
      <c r="AF71" s="138">
        <v>978.48699999999997</v>
      </c>
      <c r="AG71" s="137">
        <v>1722.4069999999999</v>
      </c>
      <c r="AH71" s="32">
        <v>1545</v>
      </c>
      <c r="AI71" s="138">
        <v>1.1279999999999999</v>
      </c>
      <c r="AJ71" s="138">
        <v>6.9000000000000006E-2</v>
      </c>
      <c r="AK71" s="137">
        <v>7.63</v>
      </c>
      <c r="AL71" s="137">
        <v>1.27</v>
      </c>
      <c r="AM71" s="137">
        <v>48.49</v>
      </c>
      <c r="AN71" s="137">
        <v>3.58</v>
      </c>
      <c r="AO71" s="137">
        <v>20.36</v>
      </c>
      <c r="AP71" s="137">
        <v>1.6</v>
      </c>
      <c r="AQ71" s="137">
        <v>23.79</v>
      </c>
      <c r="AR71" s="137">
        <v>2.2400000000000002</v>
      </c>
      <c r="AS71" s="137">
        <v>-46.972999999999999</v>
      </c>
      <c r="AT71" s="137">
        <v>4.492</v>
      </c>
      <c r="AU71" s="137">
        <v>4.4210000000000003</v>
      </c>
      <c r="AV71" s="137">
        <v>1.282</v>
      </c>
      <c r="AW71" s="137">
        <v>53.131</v>
      </c>
      <c r="AX71" s="137">
        <v>3.9209999999999998</v>
      </c>
      <c r="AY71" s="138">
        <v>0.60499999999999998</v>
      </c>
      <c r="AZ71" s="138">
        <v>9.0999999999999998E-2</v>
      </c>
      <c r="BA71" s="138">
        <v>0.64500000000000002</v>
      </c>
      <c r="BB71" s="138">
        <v>8.6999999999999994E-2</v>
      </c>
      <c r="BC71" s="138">
        <v>0.67700000000000005</v>
      </c>
      <c r="BD71" s="138">
        <v>0.09</v>
      </c>
      <c r="BE71" s="138">
        <v>0.66100000000000003</v>
      </c>
      <c r="BF71" s="138">
        <v>8.6999999999999994E-2</v>
      </c>
      <c r="BG71" s="138">
        <v>6.7000000000000004E-2</v>
      </c>
      <c r="BH71" s="138">
        <v>0.02</v>
      </c>
    </row>
    <row r="72" spans="1:60" x14ac:dyDescent="0.2">
      <c r="A72" s="22">
        <v>69</v>
      </c>
      <c r="B72" s="21" t="s">
        <v>171</v>
      </c>
      <c r="C72" s="46"/>
      <c r="D72" s="141">
        <v>44518</v>
      </c>
      <c r="E72" s="17" t="s">
        <v>0</v>
      </c>
      <c r="F72" s="109" t="s">
        <v>62</v>
      </c>
      <c r="G72" s="8" t="s">
        <v>7</v>
      </c>
      <c r="H72" s="17" t="s">
        <v>81</v>
      </c>
      <c r="I72" s="74" t="s">
        <v>82</v>
      </c>
      <c r="J72" s="17" t="s">
        <v>282</v>
      </c>
      <c r="K72" s="17" t="s">
        <v>3</v>
      </c>
      <c r="L72" s="22" t="s">
        <v>84</v>
      </c>
      <c r="M72" s="124">
        <v>58.4</v>
      </c>
      <c r="N72" s="117">
        <v>1.55</v>
      </c>
      <c r="O72" s="25">
        <f t="shared" si="17"/>
        <v>24.308012486992713</v>
      </c>
      <c r="P72" s="17">
        <v>2</v>
      </c>
      <c r="Q72" s="131">
        <v>5.78</v>
      </c>
      <c r="R72" s="27">
        <f t="shared" si="18"/>
        <v>0.69204152249134943</v>
      </c>
      <c r="S72" s="2" t="s">
        <v>0</v>
      </c>
      <c r="T72" s="18" t="s">
        <v>0</v>
      </c>
      <c r="U72" s="23" t="str">
        <f t="shared" si="13"/>
        <v>NO</v>
      </c>
      <c r="V72" s="124">
        <v>15.5</v>
      </c>
      <c r="W72" s="23" t="str">
        <f t="shared" si="19"/>
        <v>NO</v>
      </c>
      <c r="X72" s="18" t="s">
        <v>0</v>
      </c>
      <c r="Y72" s="23">
        <f t="shared" si="14"/>
        <v>0</v>
      </c>
      <c r="Z72" s="13">
        <v>2</v>
      </c>
      <c r="AA72" s="28">
        <f t="shared" si="15"/>
        <v>3</v>
      </c>
      <c r="AB72" s="17">
        <v>2</v>
      </c>
      <c r="AC72" s="24">
        <f t="shared" si="16"/>
        <v>7</v>
      </c>
      <c r="AD72" s="117">
        <v>22.24</v>
      </c>
      <c r="AE72" s="7">
        <v>11</v>
      </c>
      <c r="AF72" s="138">
        <v>951.41099999999994</v>
      </c>
      <c r="AG72" s="137">
        <v>1767.424</v>
      </c>
      <c r="AH72" s="32">
        <v>1538</v>
      </c>
      <c r="AI72" s="138">
        <v>1.165</v>
      </c>
      <c r="AJ72" s="138">
        <v>0.115</v>
      </c>
      <c r="AK72" s="137">
        <v>8.9</v>
      </c>
      <c r="AL72" s="137">
        <v>1.65</v>
      </c>
      <c r="AM72" s="137">
        <v>48.32</v>
      </c>
      <c r="AN72" s="137">
        <v>6</v>
      </c>
      <c r="AO72" s="137">
        <v>18.47</v>
      </c>
      <c r="AP72" s="137">
        <v>2.62</v>
      </c>
      <c r="AQ72" s="137">
        <v>24.38</v>
      </c>
      <c r="AR72" s="137">
        <v>3.19</v>
      </c>
      <c r="AS72" s="137">
        <v>-40.054000000000002</v>
      </c>
      <c r="AT72" s="137">
        <v>7.4630000000000001</v>
      </c>
      <c r="AU72" s="137">
        <v>7.3289999999999997</v>
      </c>
      <c r="AV72" s="137">
        <v>1.92</v>
      </c>
      <c r="AW72" s="137">
        <v>51.545999999999999</v>
      </c>
      <c r="AX72" s="137">
        <v>5.4749999999999996</v>
      </c>
      <c r="AY72" s="138">
        <v>0.58899999999999997</v>
      </c>
      <c r="AZ72" s="138">
        <v>0.12</v>
      </c>
      <c r="BA72" s="138">
        <v>0.67</v>
      </c>
      <c r="BB72" s="138">
        <v>0.13200000000000001</v>
      </c>
      <c r="BC72" s="138">
        <v>0.70099999999999996</v>
      </c>
      <c r="BD72" s="138">
        <v>0.13700000000000001</v>
      </c>
      <c r="BE72" s="138">
        <v>0.68</v>
      </c>
      <c r="BF72" s="138">
        <v>0.13400000000000001</v>
      </c>
      <c r="BG72" s="138">
        <v>5.5E-2</v>
      </c>
      <c r="BH72" s="138">
        <v>1.2999999999999999E-2</v>
      </c>
    </row>
    <row r="73" spans="1:60" x14ac:dyDescent="0.2">
      <c r="A73" s="22">
        <v>70</v>
      </c>
      <c r="B73" s="21" t="s">
        <v>172</v>
      </c>
      <c r="C73" s="46"/>
      <c r="D73" s="141">
        <v>44518</v>
      </c>
      <c r="E73" s="17" t="s">
        <v>84</v>
      </c>
      <c r="F73" s="109" t="s">
        <v>62</v>
      </c>
      <c r="G73" s="8" t="s">
        <v>4</v>
      </c>
      <c r="H73" s="17" t="s">
        <v>81</v>
      </c>
      <c r="I73" s="74" t="s">
        <v>83</v>
      </c>
      <c r="J73" s="17" t="s">
        <v>282</v>
      </c>
      <c r="K73" s="17" t="s">
        <v>5</v>
      </c>
      <c r="L73" s="22" t="s">
        <v>84</v>
      </c>
      <c r="M73" s="124">
        <v>68.5</v>
      </c>
      <c r="N73" s="117">
        <v>1.66</v>
      </c>
      <c r="O73" s="25">
        <f t="shared" si="17"/>
        <v>24.858470024677022</v>
      </c>
      <c r="P73" s="17">
        <v>6</v>
      </c>
      <c r="Q73" s="131">
        <v>5.36</v>
      </c>
      <c r="R73" s="27">
        <f t="shared" si="18"/>
        <v>0.74626865671641784</v>
      </c>
      <c r="S73" s="2" t="s">
        <v>0</v>
      </c>
      <c r="T73" s="18" t="s">
        <v>0</v>
      </c>
      <c r="U73" s="23" t="str">
        <f t="shared" si="13"/>
        <v>NO</v>
      </c>
      <c r="V73" s="124">
        <v>12</v>
      </c>
      <c r="W73" s="23" t="str">
        <f t="shared" si="19"/>
        <v>YES</v>
      </c>
      <c r="X73" s="18" t="s">
        <v>0</v>
      </c>
      <c r="Y73" s="23">
        <f t="shared" si="14"/>
        <v>1</v>
      </c>
      <c r="Z73" s="13">
        <v>1</v>
      </c>
      <c r="AA73" s="28">
        <f t="shared" si="15"/>
        <v>3</v>
      </c>
      <c r="AB73" s="17">
        <v>1</v>
      </c>
      <c r="AC73" s="24">
        <f t="shared" si="16"/>
        <v>5</v>
      </c>
      <c r="AD73" s="117">
        <v>21.23</v>
      </c>
      <c r="AE73" s="7" t="s">
        <v>105</v>
      </c>
      <c r="AF73" s="138">
        <v>803.678</v>
      </c>
      <c r="AG73" s="137">
        <v>1642.508</v>
      </c>
      <c r="AH73" s="32">
        <v>1211</v>
      </c>
      <c r="AI73" s="138">
        <v>1.43</v>
      </c>
      <c r="AJ73" s="138">
        <v>0.19800000000000001</v>
      </c>
      <c r="AK73" s="137">
        <v>10.87</v>
      </c>
      <c r="AL73" s="137">
        <v>2.4300000000000002</v>
      </c>
      <c r="AM73" s="137">
        <v>47.29</v>
      </c>
      <c r="AN73" s="137">
        <v>6.6</v>
      </c>
      <c r="AO73" s="137">
        <v>16</v>
      </c>
      <c r="AP73" s="137">
        <v>2.4300000000000002</v>
      </c>
      <c r="AQ73" s="137">
        <v>25.59</v>
      </c>
      <c r="AR73" s="137">
        <v>3.67</v>
      </c>
      <c r="AS73" s="137">
        <v>-43.317999999999998</v>
      </c>
      <c r="AT73" s="137">
        <v>8.4039999999999999</v>
      </c>
      <c r="AU73" s="137">
        <v>11.891</v>
      </c>
      <c r="AV73" s="137">
        <v>3.1829999999999998</v>
      </c>
      <c r="AW73" s="137">
        <v>42.042000000000002</v>
      </c>
      <c r="AX73" s="137">
        <v>6.3579999999999997</v>
      </c>
      <c r="AY73" s="138">
        <v>0.56899999999999995</v>
      </c>
      <c r="AZ73" s="138">
        <v>0.14199999999999999</v>
      </c>
      <c r="BA73" s="138">
        <v>0.753</v>
      </c>
      <c r="BB73" s="138">
        <v>0.16200000000000001</v>
      </c>
      <c r="BC73" s="138">
        <v>0.79800000000000004</v>
      </c>
      <c r="BD73" s="138">
        <v>0.17199999999999999</v>
      </c>
      <c r="BE73" s="138">
        <v>0.77300000000000002</v>
      </c>
      <c r="BF73" s="138">
        <v>0.16500000000000001</v>
      </c>
      <c r="BG73" s="138">
        <v>5.8999999999999997E-2</v>
      </c>
      <c r="BH73" s="138">
        <v>1.6E-2</v>
      </c>
    </row>
    <row r="74" spans="1:60" x14ac:dyDescent="0.2">
      <c r="A74" s="22">
        <v>71</v>
      </c>
      <c r="B74" s="21" t="s">
        <v>173</v>
      </c>
      <c r="C74" s="46"/>
      <c r="D74" s="141">
        <v>44518</v>
      </c>
      <c r="E74" s="17" t="s">
        <v>84</v>
      </c>
      <c r="F74" s="109" t="s">
        <v>62</v>
      </c>
      <c r="G74" s="8" t="s">
        <v>11</v>
      </c>
      <c r="H74" s="17" t="s">
        <v>81</v>
      </c>
      <c r="I74" s="74" t="s">
        <v>83</v>
      </c>
      <c r="J74" s="17" t="s">
        <v>280</v>
      </c>
      <c r="K74" s="17" t="s">
        <v>5</v>
      </c>
      <c r="L74" s="22" t="s">
        <v>84</v>
      </c>
      <c r="M74" s="124">
        <v>42.3</v>
      </c>
      <c r="N74" s="117">
        <v>1.55</v>
      </c>
      <c r="O74" s="25">
        <f t="shared" si="17"/>
        <v>17.606659729448488</v>
      </c>
      <c r="P74" s="17">
        <v>7</v>
      </c>
      <c r="Q74" s="131">
        <v>6.62</v>
      </c>
      <c r="R74" s="27">
        <f t="shared" si="18"/>
        <v>0.60422960725075525</v>
      </c>
      <c r="S74" s="2" t="s">
        <v>0</v>
      </c>
      <c r="T74" s="18" t="s">
        <v>0</v>
      </c>
      <c r="U74" s="23" t="str">
        <f t="shared" si="13"/>
        <v>NO</v>
      </c>
      <c r="V74" s="124">
        <v>27</v>
      </c>
      <c r="W74" s="23" t="str">
        <f t="shared" si="19"/>
        <v>NO</v>
      </c>
      <c r="X74" s="18" t="s">
        <v>0</v>
      </c>
      <c r="Y74" s="23">
        <f t="shared" si="14"/>
        <v>0</v>
      </c>
      <c r="Z74" s="13">
        <v>1</v>
      </c>
      <c r="AA74" s="28">
        <f t="shared" si="15"/>
        <v>2</v>
      </c>
      <c r="AB74" s="17">
        <v>0</v>
      </c>
      <c r="AC74" s="24">
        <f t="shared" si="16"/>
        <v>3</v>
      </c>
      <c r="AD74" s="117">
        <v>22.64</v>
      </c>
      <c r="AE74" s="7" t="s">
        <v>105</v>
      </c>
      <c r="AF74" s="138">
        <v>547.73099999999999</v>
      </c>
      <c r="AG74" s="137">
        <v>1117.5039999999999</v>
      </c>
      <c r="AH74" s="32">
        <v>932</v>
      </c>
      <c r="AI74" s="138">
        <v>1.2390000000000001</v>
      </c>
      <c r="AJ74" s="138">
        <v>0.124</v>
      </c>
      <c r="AK74" s="137">
        <v>8</v>
      </c>
      <c r="AL74" s="137">
        <v>1.52</v>
      </c>
      <c r="AM74" s="137">
        <v>47.62</v>
      </c>
      <c r="AN74" s="137">
        <v>5.46</v>
      </c>
      <c r="AO74" s="137">
        <v>15.73</v>
      </c>
      <c r="AP74" s="137">
        <v>2.12</v>
      </c>
      <c r="AQ74" s="137">
        <v>28.65</v>
      </c>
      <c r="AR74" s="137">
        <v>3.01</v>
      </c>
      <c r="AS74" s="137">
        <v>-38.090000000000003</v>
      </c>
      <c r="AT74" s="137">
        <v>6.2930000000000001</v>
      </c>
      <c r="AU74" s="137">
        <v>5.5039999999999996</v>
      </c>
      <c r="AV74" s="137">
        <v>1.3859999999999999</v>
      </c>
      <c r="AW74" s="137">
        <v>48.533999999999999</v>
      </c>
      <c r="AX74" s="137">
        <v>5.4160000000000004</v>
      </c>
      <c r="AY74" s="138">
        <v>0.53200000000000003</v>
      </c>
      <c r="AZ74" s="138">
        <v>0.107</v>
      </c>
      <c r="BA74" s="138">
        <v>0.63</v>
      </c>
      <c r="BB74" s="138">
        <v>0.104</v>
      </c>
      <c r="BC74" s="138">
        <v>0.65400000000000003</v>
      </c>
      <c r="BD74" s="138">
        <v>0.107</v>
      </c>
      <c r="BE74" s="138">
        <v>0.63700000000000001</v>
      </c>
      <c r="BF74" s="138">
        <v>0.104</v>
      </c>
      <c r="BG74" s="138">
        <v>4.4999999999999998E-2</v>
      </c>
      <c r="BH74" s="138">
        <v>0.01</v>
      </c>
    </row>
    <row r="75" spans="1:60" x14ac:dyDescent="0.2">
      <c r="A75" s="22">
        <v>72</v>
      </c>
      <c r="B75" s="21" t="s">
        <v>174</v>
      </c>
      <c r="C75" s="46"/>
      <c r="D75" s="141">
        <v>44518</v>
      </c>
      <c r="E75" s="17" t="s">
        <v>0</v>
      </c>
      <c r="F75" s="109" t="s">
        <v>62</v>
      </c>
      <c r="G75" s="8" t="s">
        <v>7</v>
      </c>
      <c r="H75" s="17" t="s">
        <v>81</v>
      </c>
      <c r="I75" s="74" t="s">
        <v>83</v>
      </c>
      <c r="J75" s="17" t="s">
        <v>282</v>
      </c>
      <c r="K75" s="17" t="s">
        <v>3</v>
      </c>
      <c r="L75" s="22" t="s">
        <v>84</v>
      </c>
      <c r="M75" s="124">
        <v>48.7</v>
      </c>
      <c r="N75" s="117">
        <v>1.5</v>
      </c>
      <c r="O75" s="25">
        <f t="shared" si="17"/>
        <v>21.644444444444446</v>
      </c>
      <c r="P75" s="17">
        <v>4</v>
      </c>
      <c r="Q75" s="131">
        <v>4.13</v>
      </c>
      <c r="R75" s="27">
        <f t="shared" si="18"/>
        <v>0.96852300242130751</v>
      </c>
      <c r="S75" s="2" t="s">
        <v>0</v>
      </c>
      <c r="T75" s="18" t="s">
        <v>0</v>
      </c>
      <c r="U75" s="23" t="str">
        <f t="shared" si="13"/>
        <v>NO</v>
      </c>
      <c r="V75" s="124">
        <v>8</v>
      </c>
      <c r="W75" s="23" t="str">
        <f t="shared" si="19"/>
        <v>YES</v>
      </c>
      <c r="X75" s="18" t="s">
        <v>0</v>
      </c>
      <c r="Y75" s="23">
        <f t="shared" si="14"/>
        <v>1</v>
      </c>
      <c r="Z75" s="13">
        <v>4</v>
      </c>
      <c r="AA75" s="28">
        <f t="shared" si="15"/>
        <v>4</v>
      </c>
      <c r="AB75" s="17">
        <v>4</v>
      </c>
      <c r="AC75" s="24">
        <f t="shared" si="16"/>
        <v>12</v>
      </c>
      <c r="AD75" s="117">
        <v>11.42</v>
      </c>
      <c r="AE75" s="7">
        <v>10</v>
      </c>
      <c r="AF75" s="138">
        <v>753.947</v>
      </c>
      <c r="AG75" s="137">
        <v>1165.271</v>
      </c>
      <c r="AH75" s="32">
        <v>943</v>
      </c>
      <c r="AI75" s="138">
        <v>1.2649999999999999</v>
      </c>
      <c r="AJ75" s="138">
        <v>0.14499999999999999</v>
      </c>
      <c r="AK75" s="137">
        <v>12.21</v>
      </c>
      <c r="AL75" s="137">
        <v>1.93</v>
      </c>
      <c r="AM75" s="137">
        <v>44.34</v>
      </c>
      <c r="AN75" s="137">
        <v>4.91</v>
      </c>
      <c r="AO75" s="137">
        <v>16.36</v>
      </c>
      <c r="AP75" s="137">
        <v>1.77</v>
      </c>
      <c r="AQ75" s="137">
        <v>26.92</v>
      </c>
      <c r="AR75" s="137">
        <v>2.8</v>
      </c>
      <c r="AS75" s="137">
        <v>-51.131999999999998</v>
      </c>
      <c r="AT75" s="137">
        <v>7.2850000000000001</v>
      </c>
      <c r="AU75" s="137">
        <v>14.35</v>
      </c>
      <c r="AV75" s="137">
        <v>3.1909999999999998</v>
      </c>
      <c r="AW75" s="137">
        <v>47.652000000000001</v>
      </c>
      <c r="AX75" s="137">
        <v>5.9880000000000004</v>
      </c>
      <c r="AY75" s="138">
        <v>0.68200000000000005</v>
      </c>
      <c r="AZ75" s="138">
        <v>0.158</v>
      </c>
      <c r="BA75" s="138">
        <v>0.83499999999999996</v>
      </c>
      <c r="BB75" s="138">
        <v>0.14499999999999999</v>
      </c>
      <c r="BC75" s="138">
        <v>0.877</v>
      </c>
      <c r="BD75" s="138">
        <v>0.15</v>
      </c>
      <c r="BE75" s="138">
        <v>0.84799999999999998</v>
      </c>
      <c r="BF75" s="138">
        <v>0.14499999999999999</v>
      </c>
      <c r="BG75" s="138">
        <v>6.9000000000000006E-2</v>
      </c>
      <c r="BH75" s="138">
        <v>0.02</v>
      </c>
    </row>
    <row r="76" spans="1:60" x14ac:dyDescent="0.2">
      <c r="A76" s="22">
        <v>73</v>
      </c>
      <c r="B76" s="21" t="s">
        <v>175</v>
      </c>
      <c r="C76" s="46"/>
      <c r="D76" s="141">
        <v>44518</v>
      </c>
      <c r="E76" s="17" t="s">
        <v>12</v>
      </c>
      <c r="F76" s="109" t="s">
        <v>62</v>
      </c>
      <c r="G76" s="8" t="s">
        <v>10</v>
      </c>
      <c r="H76" s="17" t="s">
        <v>81</v>
      </c>
      <c r="I76" s="74" t="s">
        <v>83</v>
      </c>
      <c r="J76" s="17" t="s">
        <v>284</v>
      </c>
      <c r="K76" s="17" t="s">
        <v>3</v>
      </c>
      <c r="L76" s="22" t="s">
        <v>84</v>
      </c>
      <c r="M76" s="124">
        <v>58.5</v>
      </c>
      <c r="N76" s="117">
        <v>1.55</v>
      </c>
      <c r="O76" s="25">
        <f t="shared" si="17"/>
        <v>24.349635796045781</v>
      </c>
      <c r="P76" s="17">
        <v>3</v>
      </c>
      <c r="Q76" s="131">
        <v>3.7</v>
      </c>
      <c r="R76" s="27">
        <f t="shared" si="18"/>
        <v>1.0810810810810809</v>
      </c>
      <c r="S76" s="2" t="s">
        <v>0</v>
      </c>
      <c r="T76" s="18" t="s">
        <v>0</v>
      </c>
      <c r="U76" s="23" t="str">
        <f t="shared" si="13"/>
        <v>NO</v>
      </c>
      <c r="V76" s="124">
        <v>13.9</v>
      </c>
      <c r="W76" s="23" t="str">
        <f t="shared" si="19"/>
        <v>NO</v>
      </c>
      <c r="X76" s="18" t="s">
        <v>0</v>
      </c>
      <c r="Y76" s="23">
        <f t="shared" si="14"/>
        <v>0</v>
      </c>
      <c r="Z76" s="13">
        <v>4</v>
      </c>
      <c r="AA76" s="28">
        <f t="shared" si="15"/>
        <v>4</v>
      </c>
      <c r="AB76" s="17">
        <v>4</v>
      </c>
      <c r="AC76" s="24">
        <f t="shared" si="16"/>
        <v>12</v>
      </c>
      <c r="AD76" s="117">
        <v>13.8</v>
      </c>
      <c r="AE76" s="7">
        <v>7</v>
      </c>
      <c r="AF76" s="138">
        <v>512.89099999999996</v>
      </c>
      <c r="AG76" s="137">
        <v>1321.54</v>
      </c>
      <c r="AH76" s="32">
        <v>1101</v>
      </c>
      <c r="AI76" s="138">
        <v>1.2330000000000001</v>
      </c>
      <c r="AJ76" s="138">
        <v>0.14199999999999999</v>
      </c>
      <c r="AK76" s="137">
        <v>9.84</v>
      </c>
      <c r="AL76" s="137">
        <v>1.46</v>
      </c>
      <c r="AM76" s="137">
        <v>44.98</v>
      </c>
      <c r="AN76" s="137">
        <v>3.56</v>
      </c>
      <c r="AO76" s="137">
        <v>15.74</v>
      </c>
      <c r="AP76" s="137">
        <v>1.5</v>
      </c>
      <c r="AQ76" s="137">
        <v>29.36</v>
      </c>
      <c r="AR76" s="137">
        <v>2.38</v>
      </c>
      <c r="AS76" s="137">
        <v>-54.963999999999999</v>
      </c>
      <c r="AT76" s="137">
        <v>6.069</v>
      </c>
      <c r="AU76" s="137">
        <v>14.231999999999999</v>
      </c>
      <c r="AV76" s="137">
        <v>2.597</v>
      </c>
      <c r="AW76" s="137">
        <v>48.898000000000003</v>
      </c>
      <c r="AX76" s="137">
        <v>5.9119999999999999</v>
      </c>
      <c r="AY76" s="138">
        <v>0.83199999999999996</v>
      </c>
      <c r="AZ76" s="138">
        <v>0.14000000000000001</v>
      </c>
      <c r="BA76" s="138">
        <v>0.69799999999999995</v>
      </c>
      <c r="BB76" s="138">
        <v>0.19800000000000001</v>
      </c>
      <c r="BC76" s="138">
        <v>1.002</v>
      </c>
      <c r="BD76" s="138">
        <v>0.114</v>
      </c>
      <c r="BE76" s="138">
        <v>0.72199999999999998</v>
      </c>
      <c r="BF76" s="138">
        <v>0.219</v>
      </c>
      <c r="BG76" s="138">
        <v>0.624</v>
      </c>
      <c r="BH76" s="138">
        <v>0.17899999999999999</v>
      </c>
    </row>
    <row r="77" spans="1:60" x14ac:dyDescent="0.2">
      <c r="A77" s="22">
        <v>74</v>
      </c>
      <c r="B77" s="21" t="s">
        <v>176</v>
      </c>
      <c r="C77" s="46"/>
      <c r="D77" s="141">
        <v>44518</v>
      </c>
      <c r="E77" s="17" t="s">
        <v>84</v>
      </c>
      <c r="F77" s="109" t="s">
        <v>62</v>
      </c>
      <c r="G77" s="8" t="s">
        <v>4</v>
      </c>
      <c r="H77" s="17" t="s">
        <v>81</v>
      </c>
      <c r="I77" s="74" t="s">
        <v>83</v>
      </c>
      <c r="J77" s="17" t="s">
        <v>284</v>
      </c>
      <c r="K77" s="17" t="s">
        <v>3</v>
      </c>
      <c r="L77" s="22" t="s">
        <v>84</v>
      </c>
      <c r="M77" s="124">
        <v>65</v>
      </c>
      <c r="N77" s="117">
        <v>1.45</v>
      </c>
      <c r="O77" s="25">
        <f t="shared" si="17"/>
        <v>30.915576694411413</v>
      </c>
      <c r="P77" s="17">
        <v>5</v>
      </c>
      <c r="Q77" s="131">
        <v>5.17</v>
      </c>
      <c r="R77" s="27">
        <f t="shared" si="18"/>
        <v>0.77369439071566737</v>
      </c>
      <c r="S77" s="2" t="s">
        <v>0</v>
      </c>
      <c r="T77" s="18" t="s">
        <v>84</v>
      </c>
      <c r="U77" s="23" t="str">
        <f t="shared" si="13"/>
        <v>NO</v>
      </c>
      <c r="V77" s="124">
        <v>12</v>
      </c>
      <c r="W77" s="23" t="str">
        <f t="shared" si="19"/>
        <v>NO</v>
      </c>
      <c r="X77" s="18" t="s">
        <v>84</v>
      </c>
      <c r="Y77" s="23">
        <f t="shared" si="14"/>
        <v>2</v>
      </c>
      <c r="Z77" s="13">
        <v>2</v>
      </c>
      <c r="AA77" s="28">
        <f t="shared" si="15"/>
        <v>3</v>
      </c>
      <c r="AB77" s="17">
        <v>2</v>
      </c>
      <c r="AC77" s="24">
        <f t="shared" si="16"/>
        <v>7</v>
      </c>
      <c r="AD77" s="117">
        <v>17.5</v>
      </c>
      <c r="AE77" s="7">
        <v>13</v>
      </c>
      <c r="AF77" s="138">
        <v>877.25599999999997</v>
      </c>
      <c r="AG77" s="137">
        <v>1236.6210000000001</v>
      </c>
      <c r="AH77" s="32">
        <v>1020</v>
      </c>
      <c r="AI77" s="138">
        <v>1.238</v>
      </c>
      <c r="AJ77" s="138">
        <v>0.11600000000000001</v>
      </c>
      <c r="AK77" s="137">
        <v>10.31</v>
      </c>
      <c r="AL77" s="137">
        <v>1.9</v>
      </c>
      <c r="AM77" s="137">
        <v>44.22</v>
      </c>
      <c r="AN77" s="137">
        <v>4.6100000000000003</v>
      </c>
      <c r="AO77" s="137">
        <v>17.260000000000002</v>
      </c>
      <c r="AP77" s="137">
        <v>2.04</v>
      </c>
      <c r="AQ77" s="137">
        <v>28.13</v>
      </c>
      <c r="AR77" s="137">
        <v>2.78</v>
      </c>
      <c r="AS77" s="137">
        <v>-52.798000000000002</v>
      </c>
      <c r="AT77" s="137">
        <v>5.851</v>
      </c>
      <c r="AU77" s="137">
        <v>11.503</v>
      </c>
      <c r="AV77" s="137">
        <v>2.4039999999999999</v>
      </c>
      <c r="AW77" s="137">
        <v>48.52</v>
      </c>
      <c r="AX77" s="137">
        <v>4.88</v>
      </c>
      <c r="AY77" s="138">
        <v>0.76600000000000001</v>
      </c>
      <c r="AZ77" s="138">
        <v>0.11799999999999999</v>
      </c>
      <c r="BA77" s="138">
        <v>0.89200000000000002</v>
      </c>
      <c r="BB77" s="138">
        <v>0.104</v>
      </c>
      <c r="BC77" s="138">
        <v>0.93</v>
      </c>
      <c r="BD77" s="138">
        <v>0.113</v>
      </c>
      <c r="BE77" s="138">
        <v>0.91</v>
      </c>
      <c r="BF77" s="138">
        <v>0.11</v>
      </c>
      <c r="BG77" s="138">
        <v>5.6000000000000001E-2</v>
      </c>
      <c r="BH77" s="138">
        <v>1.4999999999999999E-2</v>
      </c>
    </row>
    <row r="78" spans="1:60" x14ac:dyDescent="0.2">
      <c r="A78" s="22">
        <v>75</v>
      </c>
      <c r="B78" s="21" t="s">
        <v>177</v>
      </c>
      <c r="C78" s="46"/>
      <c r="D78" s="141">
        <v>44518</v>
      </c>
      <c r="E78" s="17" t="s">
        <v>12</v>
      </c>
      <c r="F78" s="109" t="s">
        <v>62</v>
      </c>
      <c r="G78" s="8" t="s">
        <v>7</v>
      </c>
      <c r="H78" s="17" t="s">
        <v>81</v>
      </c>
      <c r="I78" s="74" t="s">
        <v>83</v>
      </c>
      <c r="J78" s="17" t="s">
        <v>284</v>
      </c>
      <c r="K78" s="17" t="s">
        <v>5</v>
      </c>
      <c r="L78" s="22" t="s">
        <v>84</v>
      </c>
      <c r="M78" s="124">
        <v>61.9</v>
      </c>
      <c r="N78" s="117">
        <v>1.65</v>
      </c>
      <c r="O78" s="25">
        <f t="shared" si="17"/>
        <v>22.736455463728191</v>
      </c>
      <c r="P78" s="17">
        <v>1</v>
      </c>
      <c r="Q78" s="131">
        <v>5.31</v>
      </c>
      <c r="R78" s="27">
        <f t="shared" si="18"/>
        <v>0.75329566854990593</v>
      </c>
      <c r="S78" s="2" t="s">
        <v>0</v>
      </c>
      <c r="T78" s="18" t="s">
        <v>84</v>
      </c>
      <c r="U78" s="23" t="str">
        <f t="shared" si="13"/>
        <v>NO</v>
      </c>
      <c r="V78" s="124">
        <v>15</v>
      </c>
      <c r="W78" s="23" t="str">
        <f t="shared" si="19"/>
        <v>YES</v>
      </c>
      <c r="X78" s="18" t="s">
        <v>0</v>
      </c>
      <c r="Y78" s="23">
        <f t="shared" si="14"/>
        <v>2</v>
      </c>
      <c r="Z78" s="13">
        <v>2</v>
      </c>
      <c r="AA78" s="28">
        <f t="shared" si="15"/>
        <v>3</v>
      </c>
      <c r="AB78" s="17">
        <v>3</v>
      </c>
      <c r="AC78" s="24">
        <f t="shared" si="16"/>
        <v>8</v>
      </c>
      <c r="AD78" s="117">
        <v>16.850000000000001</v>
      </c>
      <c r="AE78" s="7">
        <v>8</v>
      </c>
      <c r="AF78" s="138">
        <v>516.50400000000002</v>
      </c>
      <c r="AG78" s="137">
        <v>742.98699999999997</v>
      </c>
      <c r="AH78" s="32">
        <v>659</v>
      </c>
      <c r="AI78" s="138">
        <v>1.147</v>
      </c>
      <c r="AJ78" s="138">
        <v>0.09</v>
      </c>
      <c r="AK78" s="137">
        <v>9.86</v>
      </c>
      <c r="AL78" s="137">
        <v>1.5</v>
      </c>
      <c r="AM78" s="137">
        <v>45.63</v>
      </c>
      <c r="AN78" s="137">
        <v>3.9</v>
      </c>
      <c r="AO78" s="137">
        <v>17.59</v>
      </c>
      <c r="AP78" s="137">
        <v>1.88</v>
      </c>
      <c r="AQ78" s="137">
        <v>26.84</v>
      </c>
      <c r="AR78" s="137">
        <v>2.4300000000000002</v>
      </c>
      <c r="AS78" s="137">
        <v>-51.427</v>
      </c>
      <c r="AT78" s="137">
        <v>6.3959999999999999</v>
      </c>
      <c r="AU78" s="137">
        <v>13.784000000000001</v>
      </c>
      <c r="AV78" s="137">
        <v>2.5379999999999998</v>
      </c>
      <c r="AW78" s="137">
        <v>52.32</v>
      </c>
      <c r="AX78" s="137">
        <v>4.54</v>
      </c>
      <c r="AY78" s="138">
        <v>0.76100000000000001</v>
      </c>
      <c r="AZ78" s="138">
        <v>0.108</v>
      </c>
      <c r="BA78" s="138">
        <v>0.82199999999999995</v>
      </c>
      <c r="BB78" s="138">
        <v>9.1999999999999998E-2</v>
      </c>
      <c r="BC78" s="138">
        <v>0.86399999999999999</v>
      </c>
      <c r="BD78" s="138">
        <v>9.7000000000000003E-2</v>
      </c>
      <c r="BE78" s="138">
        <v>0.83299999999999996</v>
      </c>
      <c r="BF78" s="138">
        <v>9.5000000000000001E-2</v>
      </c>
      <c r="BG78" s="138">
        <v>6.6000000000000003E-2</v>
      </c>
      <c r="BH78" s="138">
        <v>1.7999999999999999E-2</v>
      </c>
    </row>
    <row r="79" spans="1:60" x14ac:dyDescent="0.2">
      <c r="A79" s="22">
        <v>76</v>
      </c>
      <c r="B79" s="21" t="s">
        <v>178</v>
      </c>
      <c r="C79" s="46"/>
      <c r="D79" s="141">
        <v>44518</v>
      </c>
      <c r="E79" s="17" t="s">
        <v>12</v>
      </c>
      <c r="F79" s="109" t="s">
        <v>62</v>
      </c>
      <c r="G79" s="8" t="s">
        <v>13</v>
      </c>
      <c r="H79" s="17" t="s">
        <v>81</v>
      </c>
      <c r="I79" s="74" t="s">
        <v>83</v>
      </c>
      <c r="J79" s="17" t="s">
        <v>282</v>
      </c>
      <c r="K79" s="17" t="s">
        <v>5</v>
      </c>
      <c r="L79" s="22" t="s">
        <v>84</v>
      </c>
      <c r="M79" s="124">
        <v>45.3</v>
      </c>
      <c r="N79" s="117">
        <v>1.54</v>
      </c>
      <c r="O79" s="25">
        <f t="shared" si="17"/>
        <v>19.101028841288581</v>
      </c>
      <c r="P79" s="17">
        <v>2</v>
      </c>
      <c r="Q79" s="131">
        <v>4.5199999999999996</v>
      </c>
      <c r="R79" s="27">
        <f t="shared" si="18"/>
        <v>0.88495575221238942</v>
      </c>
      <c r="S79" s="2" t="s">
        <v>0</v>
      </c>
      <c r="T79" s="18" t="s">
        <v>0</v>
      </c>
      <c r="U79" s="23" t="str">
        <f t="shared" si="13"/>
        <v>NO</v>
      </c>
      <c r="V79" s="124">
        <v>13</v>
      </c>
      <c r="W79" s="23" t="str">
        <f t="shared" si="19"/>
        <v>YES</v>
      </c>
      <c r="X79" s="18" t="s">
        <v>0</v>
      </c>
      <c r="Y79" s="23">
        <f t="shared" si="14"/>
        <v>1</v>
      </c>
      <c r="Z79" s="13">
        <v>3</v>
      </c>
      <c r="AA79" s="28">
        <f t="shared" si="15"/>
        <v>4</v>
      </c>
      <c r="AB79" s="17">
        <v>2</v>
      </c>
      <c r="AC79" s="24">
        <f t="shared" si="16"/>
        <v>9</v>
      </c>
      <c r="AD79" s="117">
        <v>15.92</v>
      </c>
      <c r="AE79" s="7">
        <v>7</v>
      </c>
      <c r="AF79" s="138">
        <v>804.73199999999997</v>
      </c>
      <c r="AG79" s="137">
        <v>1425.0989999999999</v>
      </c>
      <c r="AH79" s="32">
        <v>1209</v>
      </c>
      <c r="AI79" s="138">
        <v>1.2110000000000001</v>
      </c>
      <c r="AJ79" s="138">
        <v>0.12</v>
      </c>
      <c r="AK79" s="137">
        <v>10.24</v>
      </c>
      <c r="AL79" s="137">
        <v>1.88</v>
      </c>
      <c r="AM79" s="137">
        <v>44.7</v>
      </c>
      <c r="AN79" s="137">
        <v>5.12</v>
      </c>
      <c r="AO79" s="137">
        <v>17.86</v>
      </c>
      <c r="AP79" s="137">
        <v>2.54</v>
      </c>
      <c r="AQ79" s="137">
        <v>27.12</v>
      </c>
      <c r="AR79" s="137">
        <v>2.83</v>
      </c>
      <c r="AS79" s="137">
        <v>-44.424999999999997</v>
      </c>
      <c r="AT79" s="137">
        <v>8.4920000000000009</v>
      </c>
      <c r="AU79" s="137">
        <v>12.291</v>
      </c>
      <c r="AV79" s="137">
        <v>2.6429999999999998</v>
      </c>
      <c r="AW79" s="137">
        <v>49.790999999999997</v>
      </c>
      <c r="AX79" s="137">
        <v>5.4610000000000003</v>
      </c>
      <c r="AY79" s="138">
        <v>0.63500000000000001</v>
      </c>
      <c r="AZ79" s="138">
        <v>0.12</v>
      </c>
      <c r="BA79" s="138">
        <v>0.72199999999999998</v>
      </c>
      <c r="BB79" s="138">
        <v>0.124</v>
      </c>
      <c r="BC79" s="138">
        <v>0.76500000000000001</v>
      </c>
      <c r="BD79" s="138">
        <v>0.13200000000000001</v>
      </c>
      <c r="BE79" s="138">
        <v>0.74</v>
      </c>
      <c r="BF79" s="138">
        <v>0.127</v>
      </c>
      <c r="BG79" s="138">
        <v>6.4000000000000001E-2</v>
      </c>
      <c r="BH79" s="138">
        <v>1.6E-2</v>
      </c>
    </row>
    <row r="80" spans="1:60" x14ac:dyDescent="0.2">
      <c r="A80" s="22">
        <v>77</v>
      </c>
      <c r="B80" s="21" t="s">
        <v>179</v>
      </c>
      <c r="C80" s="46"/>
      <c r="D80" s="141">
        <v>44518</v>
      </c>
      <c r="E80" s="17" t="s">
        <v>84</v>
      </c>
      <c r="F80" s="109" t="s">
        <v>62</v>
      </c>
      <c r="G80" s="8" t="s">
        <v>10</v>
      </c>
      <c r="H80" s="17" t="s">
        <v>81</v>
      </c>
      <c r="I80" s="74" t="s">
        <v>83</v>
      </c>
      <c r="J80" s="17" t="s">
        <v>282</v>
      </c>
      <c r="K80" s="17" t="s">
        <v>5</v>
      </c>
      <c r="L80" s="22" t="s">
        <v>84</v>
      </c>
      <c r="M80" s="124">
        <v>59.5</v>
      </c>
      <c r="N80" s="117">
        <v>1.69</v>
      </c>
      <c r="O80" s="25">
        <f t="shared" si="17"/>
        <v>20.832603900423656</v>
      </c>
      <c r="P80" s="17">
        <v>2</v>
      </c>
      <c r="Q80" s="131">
        <v>3.8</v>
      </c>
      <c r="R80" s="27">
        <f t="shared" si="18"/>
        <v>1.0526315789473684</v>
      </c>
      <c r="S80" s="17" t="s">
        <v>84</v>
      </c>
      <c r="T80" s="18" t="s">
        <v>84</v>
      </c>
      <c r="U80" s="23" t="str">
        <f t="shared" si="13"/>
        <v>NO</v>
      </c>
      <c r="V80" s="124">
        <v>11.5</v>
      </c>
      <c r="W80" s="23" t="str">
        <f t="shared" si="19"/>
        <v>YES</v>
      </c>
      <c r="X80" s="18" t="s">
        <v>0</v>
      </c>
      <c r="Y80" s="23">
        <f t="shared" si="14"/>
        <v>3</v>
      </c>
      <c r="Z80" s="13">
        <v>4</v>
      </c>
      <c r="AA80" s="28">
        <f t="shared" si="15"/>
        <v>4</v>
      </c>
      <c r="AB80" s="17">
        <v>2</v>
      </c>
      <c r="AC80" s="24">
        <f t="shared" si="16"/>
        <v>10</v>
      </c>
      <c r="AD80" s="117">
        <v>15.27</v>
      </c>
      <c r="AE80" s="7">
        <v>15</v>
      </c>
      <c r="AF80" s="138">
        <v>1011.971</v>
      </c>
      <c r="AG80" s="137">
        <v>1393.0150000000001</v>
      </c>
      <c r="AH80" s="32">
        <v>1184</v>
      </c>
      <c r="AI80" s="138">
        <v>1.224</v>
      </c>
      <c r="AJ80" s="138">
        <v>0.126</v>
      </c>
      <c r="AK80" s="137">
        <v>11.95</v>
      </c>
      <c r="AL80" s="137">
        <v>2.68</v>
      </c>
      <c r="AM80" s="137">
        <v>41.59</v>
      </c>
      <c r="AN80" s="137">
        <v>5.0599999999999996</v>
      </c>
      <c r="AO80" s="137">
        <v>16.2</v>
      </c>
      <c r="AP80" s="137">
        <v>2.15</v>
      </c>
      <c r="AQ80" s="137">
        <v>29.88</v>
      </c>
      <c r="AR80" s="137">
        <v>3.11</v>
      </c>
      <c r="AS80" s="137">
        <v>-48.694000000000003</v>
      </c>
      <c r="AT80" s="137">
        <v>7.2329999999999997</v>
      </c>
      <c r="AU80" s="137">
        <v>11.914999999999999</v>
      </c>
      <c r="AV80" s="137">
        <v>2.81</v>
      </c>
      <c r="AW80" s="137">
        <v>48.883000000000003</v>
      </c>
      <c r="AX80" s="137">
        <v>5.7439999999999998</v>
      </c>
      <c r="AY80" s="138">
        <v>0.82499999999999996</v>
      </c>
      <c r="AZ80" s="138">
        <v>0.14000000000000001</v>
      </c>
      <c r="BA80" s="138">
        <v>0.92800000000000005</v>
      </c>
      <c r="BB80" s="138">
        <v>0.14099999999999999</v>
      </c>
      <c r="BC80" s="138">
        <v>0.99099999999999999</v>
      </c>
      <c r="BD80" s="138">
        <v>0.15</v>
      </c>
      <c r="BE80" s="138">
        <v>0.94499999999999995</v>
      </c>
      <c r="BF80" s="138">
        <v>0.14299999999999999</v>
      </c>
      <c r="BG80" s="138">
        <v>0.14899999999999999</v>
      </c>
      <c r="BH80" s="138">
        <v>4.2000000000000003E-2</v>
      </c>
    </row>
    <row r="81" spans="1:60" x14ac:dyDescent="0.2">
      <c r="A81" s="22">
        <v>78</v>
      </c>
      <c r="B81" s="21" t="s">
        <v>180</v>
      </c>
      <c r="C81" s="46"/>
      <c r="D81" s="141">
        <v>44518</v>
      </c>
      <c r="E81" s="17" t="s">
        <v>12</v>
      </c>
      <c r="F81" s="109" t="s">
        <v>62</v>
      </c>
      <c r="G81" s="8" t="s">
        <v>9</v>
      </c>
      <c r="H81" s="17" t="s">
        <v>81</v>
      </c>
      <c r="I81" s="74" t="s">
        <v>83</v>
      </c>
      <c r="J81" s="17" t="s">
        <v>281</v>
      </c>
      <c r="K81" s="17" t="s">
        <v>5</v>
      </c>
      <c r="L81" s="22" t="s">
        <v>84</v>
      </c>
      <c r="M81" s="124">
        <v>61.5</v>
      </c>
      <c r="N81" s="117">
        <v>1.7</v>
      </c>
      <c r="O81" s="25">
        <f t="shared" si="17"/>
        <v>21.280276816609</v>
      </c>
      <c r="P81" s="17">
        <v>2</v>
      </c>
      <c r="Q81" s="131">
        <v>5.51</v>
      </c>
      <c r="R81" s="27">
        <f t="shared" si="18"/>
        <v>0.72595281306715065</v>
      </c>
      <c r="S81" s="17" t="s">
        <v>0</v>
      </c>
      <c r="T81" s="18" t="s">
        <v>0</v>
      </c>
      <c r="U81" s="23" t="str">
        <f t="shared" si="13"/>
        <v>NO</v>
      </c>
      <c r="V81" s="124">
        <v>20</v>
      </c>
      <c r="W81" s="23" t="str">
        <f t="shared" si="19"/>
        <v>NO</v>
      </c>
      <c r="X81" s="18" t="s">
        <v>84</v>
      </c>
      <c r="Y81" s="23">
        <f t="shared" si="14"/>
        <v>1</v>
      </c>
      <c r="Z81" s="13">
        <v>2</v>
      </c>
      <c r="AA81" s="28">
        <f t="shared" si="15"/>
        <v>3</v>
      </c>
      <c r="AB81" s="17">
        <v>1</v>
      </c>
      <c r="AC81" s="24">
        <f t="shared" si="16"/>
        <v>6</v>
      </c>
      <c r="AD81" s="117">
        <v>15.81</v>
      </c>
      <c r="AE81" s="7">
        <v>7</v>
      </c>
      <c r="AF81" s="138">
        <v>220.28700000000001</v>
      </c>
      <c r="AG81" s="137">
        <v>338.59899999999999</v>
      </c>
      <c r="AH81" s="32">
        <v>328</v>
      </c>
      <c r="AI81" s="138">
        <v>1.0820000000000001</v>
      </c>
      <c r="AJ81" s="138">
        <v>0.105</v>
      </c>
      <c r="AK81" s="137">
        <v>9.56</v>
      </c>
      <c r="AL81" s="137">
        <v>1.91</v>
      </c>
      <c r="AM81" s="137">
        <v>47.69</v>
      </c>
      <c r="AN81" s="137">
        <v>5.62</v>
      </c>
      <c r="AO81" s="137">
        <v>15.04</v>
      </c>
      <c r="AP81" s="137">
        <v>1.83</v>
      </c>
      <c r="AQ81" s="137">
        <v>27.8</v>
      </c>
      <c r="AR81" s="137">
        <v>3.22</v>
      </c>
      <c r="AS81" s="137">
        <v>-40.344000000000001</v>
      </c>
      <c r="AT81" s="137">
        <v>6.4</v>
      </c>
      <c r="AU81" s="137">
        <v>9.5890000000000004</v>
      </c>
      <c r="AV81" s="137">
        <v>2.1120000000000001</v>
      </c>
      <c r="AW81" s="137">
        <v>55.043999999999997</v>
      </c>
      <c r="AX81" s="137">
        <v>6.4749999999999996</v>
      </c>
      <c r="AY81" s="138">
        <v>0.752</v>
      </c>
      <c r="AZ81" s="138">
        <v>0.13600000000000001</v>
      </c>
      <c r="BA81" s="138">
        <v>0.747</v>
      </c>
      <c r="BB81" s="138">
        <v>0.123</v>
      </c>
      <c r="BC81" s="138">
        <v>0.77800000000000002</v>
      </c>
      <c r="BD81" s="138">
        <v>0.127</v>
      </c>
      <c r="BE81" s="138">
        <v>0.755</v>
      </c>
      <c r="BF81" s="138">
        <v>0.122</v>
      </c>
      <c r="BG81" s="138">
        <v>6.5000000000000002E-2</v>
      </c>
      <c r="BH81" s="138">
        <v>1.6E-2</v>
      </c>
    </row>
    <row r="82" spans="1:60" x14ac:dyDescent="0.2">
      <c r="A82" s="22">
        <v>79</v>
      </c>
      <c r="B82" s="21" t="s">
        <v>181</v>
      </c>
      <c r="C82" s="45"/>
      <c r="D82" s="141">
        <v>44525</v>
      </c>
      <c r="E82" s="2" t="s">
        <v>12</v>
      </c>
      <c r="F82" s="109" t="s">
        <v>62</v>
      </c>
      <c r="G82" s="110" t="s">
        <v>4</v>
      </c>
      <c r="H82" s="2" t="s">
        <v>80</v>
      </c>
      <c r="I82" s="78" t="s">
        <v>82</v>
      </c>
      <c r="J82" s="2" t="s">
        <v>282</v>
      </c>
      <c r="K82" s="2" t="s">
        <v>5</v>
      </c>
      <c r="L82" s="22" t="s">
        <v>0</v>
      </c>
      <c r="M82" s="123">
        <v>76</v>
      </c>
      <c r="N82" s="116">
        <v>1.53</v>
      </c>
      <c r="O82" s="25">
        <f t="shared" si="17"/>
        <v>32.466145499594177</v>
      </c>
      <c r="P82" s="2">
        <v>1</v>
      </c>
      <c r="Q82" s="130">
        <v>3.48</v>
      </c>
      <c r="R82" s="27">
        <f t="shared" si="18"/>
        <v>1.1494252873563218</v>
      </c>
      <c r="S82" s="2" t="s">
        <v>0</v>
      </c>
      <c r="T82" s="66" t="s">
        <v>0</v>
      </c>
      <c r="U82" s="23" t="str">
        <f t="shared" si="13"/>
        <v>NO</v>
      </c>
      <c r="V82" s="123">
        <v>30</v>
      </c>
      <c r="W82" s="23" t="str">
        <f t="shared" si="19"/>
        <v>NO</v>
      </c>
      <c r="X82" s="66" t="s">
        <v>0</v>
      </c>
      <c r="Y82" s="23">
        <f t="shared" si="14"/>
        <v>0</v>
      </c>
      <c r="Z82" s="11">
        <v>4</v>
      </c>
      <c r="AA82" s="28">
        <f t="shared" si="15"/>
        <v>4</v>
      </c>
      <c r="AB82" s="2">
        <v>4</v>
      </c>
      <c r="AC82" s="24">
        <f t="shared" si="16"/>
        <v>12</v>
      </c>
      <c r="AD82" s="116">
        <v>9.6</v>
      </c>
      <c r="AE82" s="5">
        <v>7</v>
      </c>
      <c r="AF82" s="138">
        <v>1809.096</v>
      </c>
      <c r="AG82" s="137">
        <v>1508.0350000000001</v>
      </c>
      <c r="AH82" s="32">
        <v>1478</v>
      </c>
      <c r="AI82" s="138">
        <v>1.03</v>
      </c>
      <c r="AJ82" s="138">
        <v>4.2999999999999997E-2</v>
      </c>
      <c r="AK82" s="137">
        <v>12.51</v>
      </c>
      <c r="AL82" s="137">
        <v>1.08</v>
      </c>
      <c r="AM82" s="137">
        <v>35</v>
      </c>
      <c r="AN82" s="137">
        <v>1.81</v>
      </c>
      <c r="AO82" s="137">
        <v>20.29</v>
      </c>
      <c r="AP82" s="137">
        <v>1.18</v>
      </c>
      <c r="AQ82" s="137">
        <v>32.130000000000003</v>
      </c>
      <c r="AR82" s="137">
        <v>1.34</v>
      </c>
      <c r="AS82" s="137">
        <v>-60.268000000000001</v>
      </c>
      <c r="AT82" s="137">
        <v>4.0979999999999999</v>
      </c>
      <c r="AU82" s="137">
        <v>19.841000000000001</v>
      </c>
      <c r="AV82" s="137">
        <v>1.839</v>
      </c>
      <c r="AW82" s="137">
        <v>58.231999999999999</v>
      </c>
      <c r="AX82" s="137">
        <v>2.5630000000000002</v>
      </c>
      <c r="AY82" s="138">
        <v>1.3280000000000001</v>
      </c>
      <c r="AZ82" s="138">
        <v>7.5999999999999998E-2</v>
      </c>
      <c r="BA82" s="138">
        <v>1.2390000000000001</v>
      </c>
      <c r="BB82" s="138">
        <v>9.7000000000000003E-2</v>
      </c>
      <c r="BC82" s="138">
        <v>1.359</v>
      </c>
      <c r="BD82" s="138">
        <v>6.9000000000000006E-2</v>
      </c>
      <c r="BE82" s="138">
        <v>1.272</v>
      </c>
      <c r="BF82" s="138">
        <v>9.9000000000000005E-2</v>
      </c>
      <c r="BG82" s="138">
        <v>0.32200000000000001</v>
      </c>
      <c r="BH82" s="138">
        <v>9.2999999999999999E-2</v>
      </c>
    </row>
    <row r="83" spans="1:60" x14ac:dyDescent="0.2">
      <c r="A83" s="22">
        <v>80</v>
      </c>
      <c r="B83" s="21" t="s">
        <v>182</v>
      </c>
      <c r="C83" s="45"/>
      <c r="D83" s="141">
        <v>44531</v>
      </c>
      <c r="E83" s="2" t="s">
        <v>84</v>
      </c>
      <c r="F83" s="109" t="s">
        <v>62</v>
      </c>
      <c r="G83" s="110" t="s">
        <v>11</v>
      </c>
      <c r="H83" s="2" t="s">
        <v>80</v>
      </c>
      <c r="I83" s="78" t="s">
        <v>83</v>
      </c>
      <c r="J83" s="2" t="s">
        <v>279</v>
      </c>
      <c r="K83" s="2" t="s">
        <v>5</v>
      </c>
      <c r="L83" s="22" t="s">
        <v>0</v>
      </c>
      <c r="M83" s="123">
        <v>65</v>
      </c>
      <c r="N83" s="116">
        <v>1.72</v>
      </c>
      <c r="O83" s="25">
        <f t="shared" si="17"/>
        <v>21.971335857220122</v>
      </c>
      <c r="P83" s="2">
        <v>3</v>
      </c>
      <c r="Q83" s="130">
        <v>6.65</v>
      </c>
      <c r="R83" s="27">
        <f t="shared" si="18"/>
        <v>0.60150375939849621</v>
      </c>
      <c r="S83" s="2" t="s">
        <v>84</v>
      </c>
      <c r="T83" s="66" t="s">
        <v>84</v>
      </c>
      <c r="U83" s="23" t="str">
        <f t="shared" si="13"/>
        <v>NO</v>
      </c>
      <c r="V83" s="123">
        <v>24</v>
      </c>
      <c r="W83" s="23" t="str">
        <f t="shared" si="19"/>
        <v>NO</v>
      </c>
      <c r="X83" s="66" t="s">
        <v>84</v>
      </c>
      <c r="Y83" s="23">
        <f t="shared" si="14"/>
        <v>3</v>
      </c>
      <c r="Z83" s="11">
        <v>4</v>
      </c>
      <c r="AA83" s="28">
        <f t="shared" si="15"/>
        <v>2</v>
      </c>
      <c r="AB83" s="2">
        <v>0</v>
      </c>
      <c r="AC83" s="24">
        <f t="shared" si="16"/>
        <v>6</v>
      </c>
      <c r="AD83" s="116">
        <v>20</v>
      </c>
      <c r="AE83" s="5">
        <v>7</v>
      </c>
      <c r="AF83" s="138">
        <v>265.79599999999999</v>
      </c>
      <c r="AG83" s="137">
        <v>649.00400000000002</v>
      </c>
      <c r="AH83" s="32">
        <v>425</v>
      </c>
      <c r="AI83" s="138">
        <v>1.542</v>
      </c>
      <c r="AJ83" s="138">
        <v>0.11700000000000001</v>
      </c>
      <c r="AK83" s="137">
        <v>6.55</v>
      </c>
      <c r="AL83" s="137">
        <v>1.49</v>
      </c>
      <c r="AM83" s="137">
        <v>55.07</v>
      </c>
      <c r="AN83" s="137">
        <v>4.2300000000000004</v>
      </c>
      <c r="AO83" s="137">
        <v>16.510000000000002</v>
      </c>
      <c r="AP83" s="137">
        <v>1.56</v>
      </c>
      <c r="AQ83" s="137">
        <v>22.05</v>
      </c>
      <c r="AR83" s="137">
        <v>1.92</v>
      </c>
      <c r="AS83" s="137">
        <v>-39.078000000000003</v>
      </c>
      <c r="AT83" s="137">
        <v>4.0010000000000003</v>
      </c>
      <c r="AU83" s="137">
        <v>5.2279999999999998</v>
      </c>
      <c r="AV83" s="137">
        <v>1.4019999999999999</v>
      </c>
      <c r="AW83" s="137">
        <v>39.067999999999998</v>
      </c>
      <c r="AX83" s="137">
        <v>3.1539999999999999</v>
      </c>
      <c r="AY83" s="138">
        <v>0.441</v>
      </c>
      <c r="AZ83" s="138">
        <v>5.5E-2</v>
      </c>
      <c r="BA83" s="138">
        <v>0.64800000000000002</v>
      </c>
      <c r="BB83" s="138">
        <v>7.3999999999999996E-2</v>
      </c>
      <c r="BC83" s="138">
        <v>0.67700000000000005</v>
      </c>
      <c r="BD83" s="138">
        <v>7.5999999999999998E-2</v>
      </c>
      <c r="BE83" s="138">
        <v>0.65900000000000003</v>
      </c>
      <c r="BF83" s="138">
        <v>7.3999999999999996E-2</v>
      </c>
      <c r="BG83" s="138">
        <v>0.06</v>
      </c>
      <c r="BH83" s="138">
        <v>1.0999999999999999E-2</v>
      </c>
    </row>
    <row r="84" spans="1:60" x14ac:dyDescent="0.2">
      <c r="A84" s="22">
        <v>81</v>
      </c>
      <c r="B84" s="21" t="s">
        <v>183</v>
      </c>
      <c r="C84" s="45"/>
      <c r="D84" s="141">
        <v>44531</v>
      </c>
      <c r="E84" s="2" t="s">
        <v>12</v>
      </c>
      <c r="F84" s="109" t="s">
        <v>62</v>
      </c>
      <c r="G84" s="110" t="s">
        <v>4</v>
      </c>
      <c r="H84" s="2" t="s">
        <v>2</v>
      </c>
      <c r="I84" s="78" t="s">
        <v>82</v>
      </c>
      <c r="J84" s="2" t="s">
        <v>283</v>
      </c>
      <c r="K84" s="2" t="s">
        <v>3</v>
      </c>
      <c r="L84" s="22" t="s">
        <v>0</v>
      </c>
      <c r="M84" s="123">
        <v>75</v>
      </c>
      <c r="N84" s="116">
        <v>1.62</v>
      </c>
      <c r="O84" s="25">
        <f t="shared" si="17"/>
        <v>28.577960676726104</v>
      </c>
      <c r="P84" s="2">
        <v>1</v>
      </c>
      <c r="Q84" s="130">
        <v>3.15</v>
      </c>
      <c r="R84" s="27">
        <f t="shared" si="18"/>
        <v>1.2698412698412698</v>
      </c>
      <c r="S84" s="2" t="s">
        <v>0</v>
      </c>
      <c r="T84" s="66" t="s">
        <v>0</v>
      </c>
      <c r="U84" s="23" t="str">
        <f t="shared" si="13"/>
        <v>NO</v>
      </c>
      <c r="V84" s="123">
        <v>24</v>
      </c>
      <c r="W84" s="23" t="str">
        <f t="shared" si="19"/>
        <v>NO</v>
      </c>
      <c r="X84" s="66" t="s">
        <v>0</v>
      </c>
      <c r="Y84" s="23">
        <f t="shared" si="14"/>
        <v>0</v>
      </c>
      <c r="Z84" s="11">
        <v>4</v>
      </c>
      <c r="AA84" s="28">
        <f t="shared" si="15"/>
        <v>4</v>
      </c>
      <c r="AB84" s="2">
        <v>4</v>
      </c>
      <c r="AC84" s="24">
        <f t="shared" si="16"/>
        <v>12</v>
      </c>
      <c r="AD84" s="116">
        <v>8.2799999999999994</v>
      </c>
      <c r="AE84" s="5">
        <v>7</v>
      </c>
      <c r="AF84" s="138">
        <v>1286.098</v>
      </c>
      <c r="AG84" s="137">
        <v>1010.626</v>
      </c>
      <c r="AH84" s="32">
        <v>1035</v>
      </c>
      <c r="AI84" s="138">
        <v>0.97899999999999998</v>
      </c>
      <c r="AJ84" s="138">
        <v>4.9000000000000002E-2</v>
      </c>
      <c r="AK84" s="137">
        <v>10.199999999999999</v>
      </c>
      <c r="AL84" s="137">
        <v>1.33</v>
      </c>
      <c r="AM84" s="137">
        <v>36.75</v>
      </c>
      <c r="AN84" s="137">
        <v>2.4500000000000002</v>
      </c>
      <c r="AO84" s="137">
        <v>19.66</v>
      </c>
      <c r="AP84" s="137">
        <v>1.61</v>
      </c>
      <c r="AQ84" s="137">
        <v>33.229999999999997</v>
      </c>
      <c r="AR84" s="137">
        <v>1.5</v>
      </c>
      <c r="AS84" s="137">
        <v>-70.427000000000007</v>
      </c>
      <c r="AT84" s="137">
        <v>6.9980000000000002</v>
      </c>
      <c r="AU84" s="137">
        <v>19.821999999999999</v>
      </c>
      <c r="AV84" s="137">
        <v>2.4249999999999998</v>
      </c>
      <c r="AW84" s="137">
        <v>61.405999999999999</v>
      </c>
      <c r="AX84" s="137">
        <v>2.81</v>
      </c>
      <c r="AY84" s="138">
        <v>1.369</v>
      </c>
      <c r="AZ84" s="138">
        <v>0.104</v>
      </c>
      <c r="BA84" s="138">
        <v>1.2470000000000001</v>
      </c>
      <c r="BB84" s="138">
        <v>8.7999999999999995E-2</v>
      </c>
      <c r="BC84" s="138">
        <v>1.333</v>
      </c>
      <c r="BD84" s="138">
        <v>7.5999999999999998E-2</v>
      </c>
      <c r="BE84" s="138">
        <v>1.2609999999999999</v>
      </c>
      <c r="BF84" s="138">
        <v>8.6999999999999994E-2</v>
      </c>
      <c r="BG84" s="138">
        <v>0.26500000000000001</v>
      </c>
      <c r="BH84" s="138">
        <v>8.5000000000000006E-2</v>
      </c>
    </row>
    <row r="85" spans="1:60" x14ac:dyDescent="0.2">
      <c r="A85" s="22">
        <v>82</v>
      </c>
      <c r="B85" s="21" t="s">
        <v>184</v>
      </c>
      <c r="C85" s="45"/>
      <c r="D85" s="141">
        <v>44531</v>
      </c>
      <c r="E85" s="2" t="s">
        <v>12</v>
      </c>
      <c r="F85" s="109" t="s">
        <v>62</v>
      </c>
      <c r="G85" s="110" t="s">
        <v>11</v>
      </c>
      <c r="H85" s="2" t="s">
        <v>2</v>
      </c>
      <c r="I85" s="78" t="s">
        <v>82</v>
      </c>
      <c r="J85" s="2" t="s">
        <v>283</v>
      </c>
      <c r="K85" s="2" t="s">
        <v>5</v>
      </c>
      <c r="L85" s="22" t="s">
        <v>0</v>
      </c>
      <c r="M85" s="123">
        <v>105</v>
      </c>
      <c r="N85" s="116">
        <v>1.72</v>
      </c>
      <c r="O85" s="25">
        <f t="shared" si="17"/>
        <v>35.492157923201731</v>
      </c>
      <c r="P85" s="2">
        <v>1</v>
      </c>
      <c r="Q85" s="130">
        <v>4.43</v>
      </c>
      <c r="R85" s="27">
        <f t="shared" si="18"/>
        <v>0.90293453724604977</v>
      </c>
      <c r="S85" s="2" t="s">
        <v>0</v>
      </c>
      <c r="T85" s="66" t="s">
        <v>0</v>
      </c>
      <c r="U85" s="23" t="str">
        <f t="shared" si="13"/>
        <v>NO</v>
      </c>
      <c r="V85" s="123">
        <v>36</v>
      </c>
      <c r="W85" s="23" t="str">
        <f t="shared" si="19"/>
        <v>NO</v>
      </c>
      <c r="X85" s="66" t="s">
        <v>0</v>
      </c>
      <c r="Y85" s="23">
        <f t="shared" si="14"/>
        <v>0</v>
      </c>
      <c r="Z85" s="11">
        <v>4</v>
      </c>
      <c r="AA85" s="28">
        <f t="shared" si="15"/>
        <v>4</v>
      </c>
      <c r="AB85" s="2">
        <v>4</v>
      </c>
      <c r="AC85" s="24">
        <f t="shared" si="16"/>
        <v>12</v>
      </c>
      <c r="AD85" s="116">
        <v>11.3</v>
      </c>
      <c r="AE85" s="5">
        <v>7</v>
      </c>
      <c r="AF85" s="138">
        <v>934.87400000000002</v>
      </c>
      <c r="AG85" s="137">
        <v>739.35699999999997</v>
      </c>
      <c r="AH85" s="32">
        <v>679</v>
      </c>
      <c r="AI85" s="138">
        <v>1.097</v>
      </c>
      <c r="AJ85" s="138">
        <v>4.2000000000000003E-2</v>
      </c>
      <c r="AK85" s="137">
        <v>12.37</v>
      </c>
      <c r="AL85" s="137">
        <v>1.1299999999999999</v>
      </c>
      <c r="AM85" s="137">
        <v>34.75</v>
      </c>
      <c r="AN85" s="137">
        <v>2.2400000000000002</v>
      </c>
      <c r="AO85" s="137">
        <v>21.02</v>
      </c>
      <c r="AP85" s="137">
        <v>1.45</v>
      </c>
      <c r="AQ85" s="137">
        <v>31.67</v>
      </c>
      <c r="AR85" s="137">
        <v>1.58</v>
      </c>
      <c r="AS85" s="137">
        <v>-72.301000000000002</v>
      </c>
      <c r="AT85" s="137">
        <v>4.5350000000000001</v>
      </c>
      <c r="AU85" s="137">
        <v>32.716000000000001</v>
      </c>
      <c r="AV85" s="137">
        <v>3.2080000000000002</v>
      </c>
      <c r="AW85" s="137">
        <v>54.701999999999998</v>
      </c>
      <c r="AX85" s="137">
        <v>2.4649999999999999</v>
      </c>
      <c r="AY85" s="138">
        <v>1.3620000000000001</v>
      </c>
      <c r="AZ85" s="138">
        <v>8.5999999999999993E-2</v>
      </c>
      <c r="BA85" s="138">
        <v>1.397</v>
      </c>
      <c r="BB85" s="138">
        <v>9.4E-2</v>
      </c>
      <c r="BC85" s="138">
        <v>1.4870000000000001</v>
      </c>
      <c r="BD85" s="138">
        <v>9.6000000000000002E-2</v>
      </c>
      <c r="BE85" s="138">
        <v>1.4239999999999999</v>
      </c>
      <c r="BF85" s="138">
        <v>0.09</v>
      </c>
      <c r="BG85" s="138">
        <v>0.17</v>
      </c>
      <c r="BH85" s="138">
        <v>4.9000000000000002E-2</v>
      </c>
    </row>
    <row r="86" spans="1:60" x14ac:dyDescent="0.2">
      <c r="A86" s="22">
        <v>83</v>
      </c>
      <c r="B86" s="21" t="s">
        <v>185</v>
      </c>
      <c r="C86" s="44"/>
      <c r="D86" s="140">
        <v>44468</v>
      </c>
      <c r="E86" s="4" t="s">
        <v>84</v>
      </c>
      <c r="F86" s="109" t="s">
        <v>62</v>
      </c>
      <c r="G86" s="109" t="s">
        <v>13</v>
      </c>
      <c r="H86" s="4" t="s">
        <v>81</v>
      </c>
      <c r="I86" s="76" t="s">
        <v>82</v>
      </c>
      <c r="J86" s="4" t="s">
        <v>279</v>
      </c>
      <c r="K86" s="4" t="s">
        <v>3</v>
      </c>
      <c r="L86" s="26" t="s">
        <v>84</v>
      </c>
      <c r="M86" s="127">
        <v>85</v>
      </c>
      <c r="N86" s="120">
        <v>1.54</v>
      </c>
      <c r="O86" s="25">
        <f t="shared" si="17"/>
        <v>35.840782594029349</v>
      </c>
      <c r="P86" s="4">
        <v>1</v>
      </c>
      <c r="Q86" s="134">
        <v>6.31</v>
      </c>
      <c r="R86" s="27">
        <f t="shared" si="18"/>
        <v>0.63391442155309041</v>
      </c>
      <c r="S86" s="4" t="s">
        <v>0</v>
      </c>
      <c r="T86" s="68" t="s">
        <v>84</v>
      </c>
      <c r="U86" s="23" t="str">
        <f t="shared" si="13"/>
        <v>NO</v>
      </c>
      <c r="V86" s="127">
        <v>11.3</v>
      </c>
      <c r="W86" s="23" t="str">
        <f t="shared" si="19"/>
        <v>YES</v>
      </c>
      <c r="X86" s="68" t="s">
        <v>0</v>
      </c>
      <c r="Y86" s="23">
        <f t="shared" si="14"/>
        <v>2</v>
      </c>
      <c r="Z86" s="15">
        <v>4</v>
      </c>
      <c r="AA86" s="28">
        <f t="shared" si="15"/>
        <v>2</v>
      </c>
      <c r="AB86" s="4">
        <v>1</v>
      </c>
      <c r="AC86" s="24">
        <f t="shared" si="16"/>
        <v>7</v>
      </c>
      <c r="AD86" s="120">
        <v>15.76</v>
      </c>
      <c r="AE86" s="9">
        <v>17</v>
      </c>
      <c r="AF86" s="138">
        <v>1040.671</v>
      </c>
      <c r="AG86" s="137">
        <v>1883.675</v>
      </c>
      <c r="AH86" s="32">
        <v>1569</v>
      </c>
      <c r="AI86" s="138">
        <v>1.204</v>
      </c>
      <c r="AJ86" s="138">
        <v>8.2000000000000003E-2</v>
      </c>
      <c r="AK86" s="137">
        <v>8.83</v>
      </c>
      <c r="AL86" s="137">
        <v>1.91</v>
      </c>
      <c r="AM86" s="137">
        <v>46.35</v>
      </c>
      <c r="AN86" s="137">
        <v>4.46</v>
      </c>
      <c r="AO86" s="137">
        <v>15.92</v>
      </c>
      <c r="AP86" s="137">
        <v>1.71</v>
      </c>
      <c r="AQ86" s="137">
        <v>28.48</v>
      </c>
      <c r="AR86" s="137">
        <v>2.73</v>
      </c>
      <c r="AS86" s="137">
        <v>-41.378</v>
      </c>
      <c r="AT86" s="137">
        <v>5.8869999999999996</v>
      </c>
      <c r="AU86" s="137">
        <v>6.3170000000000002</v>
      </c>
      <c r="AV86" s="137">
        <v>1.8169999999999999</v>
      </c>
      <c r="AW86" s="137">
        <v>49.991999999999997</v>
      </c>
      <c r="AX86" s="137">
        <v>3.371</v>
      </c>
      <c r="AY86" s="138">
        <v>0.58499999999999996</v>
      </c>
      <c r="AZ86" s="138">
        <v>8.8999999999999996E-2</v>
      </c>
      <c r="BA86" s="138">
        <v>0.67700000000000005</v>
      </c>
      <c r="BB86" s="138">
        <v>9.4E-2</v>
      </c>
      <c r="BC86" s="138">
        <v>0.70199999999999996</v>
      </c>
      <c r="BD86" s="138">
        <v>9.7000000000000003E-2</v>
      </c>
      <c r="BE86" s="138">
        <v>0.68600000000000005</v>
      </c>
      <c r="BF86" s="138">
        <v>9.5000000000000001E-2</v>
      </c>
      <c r="BG86" s="138">
        <v>6.0999999999999999E-2</v>
      </c>
      <c r="BH86" s="138">
        <v>1.7000000000000001E-2</v>
      </c>
    </row>
    <row r="87" spans="1:60" x14ac:dyDescent="0.2">
      <c r="A87" s="22">
        <v>84</v>
      </c>
      <c r="B87" s="21" t="s">
        <v>186</v>
      </c>
      <c r="C87" s="44"/>
      <c r="D87" s="140">
        <v>44475</v>
      </c>
      <c r="E87" s="4" t="s">
        <v>0</v>
      </c>
      <c r="F87" s="109" t="s">
        <v>62</v>
      </c>
      <c r="G87" s="109" t="s">
        <v>13</v>
      </c>
      <c r="H87" s="4" t="s">
        <v>81</v>
      </c>
      <c r="I87" s="76" t="s">
        <v>82</v>
      </c>
      <c r="J87" s="4" t="s">
        <v>284</v>
      </c>
      <c r="K87" s="4" t="s">
        <v>5</v>
      </c>
      <c r="L87" s="26" t="s">
        <v>84</v>
      </c>
      <c r="M87" s="127">
        <v>79.7</v>
      </c>
      <c r="N87" s="120">
        <v>1.72</v>
      </c>
      <c r="O87" s="25">
        <f t="shared" si="17"/>
        <v>26.940237966468366</v>
      </c>
      <c r="P87" s="4">
        <v>1</v>
      </c>
      <c r="Q87" s="134">
        <v>6.12</v>
      </c>
      <c r="R87" s="27">
        <f t="shared" si="18"/>
        <v>0.65359477124183007</v>
      </c>
      <c r="S87" s="4" t="s">
        <v>0</v>
      </c>
      <c r="T87" s="68" t="s">
        <v>84</v>
      </c>
      <c r="U87" s="23" t="str">
        <f t="shared" si="13"/>
        <v>NO</v>
      </c>
      <c r="V87" s="127">
        <v>23.8</v>
      </c>
      <c r="W87" s="23" t="str">
        <f t="shared" si="19"/>
        <v>NO</v>
      </c>
      <c r="X87" s="68" t="s">
        <v>0</v>
      </c>
      <c r="Y87" s="23">
        <f t="shared" si="14"/>
        <v>1</v>
      </c>
      <c r="Z87" s="15">
        <v>4</v>
      </c>
      <c r="AA87" s="28">
        <f t="shared" si="15"/>
        <v>3</v>
      </c>
      <c r="AB87" s="4">
        <v>3</v>
      </c>
      <c r="AC87" s="24">
        <f t="shared" si="16"/>
        <v>10</v>
      </c>
      <c r="AD87" s="120">
        <v>12.75</v>
      </c>
      <c r="AE87" s="9">
        <v>10</v>
      </c>
      <c r="AF87" s="138">
        <v>571.41399999999999</v>
      </c>
      <c r="AG87" s="137">
        <v>1118.808</v>
      </c>
      <c r="AH87" s="32">
        <v>911</v>
      </c>
      <c r="AI87" s="138">
        <v>1.359</v>
      </c>
      <c r="AJ87" s="138">
        <v>0.18</v>
      </c>
      <c r="AK87" s="137">
        <v>7.67</v>
      </c>
      <c r="AL87" s="137">
        <v>1.5</v>
      </c>
      <c r="AM87" s="137">
        <v>47.52</v>
      </c>
      <c r="AN87" s="137">
        <v>6.47</v>
      </c>
      <c r="AO87" s="137">
        <v>15.5</v>
      </c>
      <c r="AP87" s="137">
        <v>2.83</v>
      </c>
      <c r="AQ87" s="137">
        <v>28.55</v>
      </c>
      <c r="AR87" s="137">
        <v>4.38</v>
      </c>
      <c r="AS87" s="137">
        <v>-45.222999999999999</v>
      </c>
      <c r="AT87" s="137">
        <v>7.84</v>
      </c>
      <c r="AU87" s="137">
        <v>7.1760000000000002</v>
      </c>
      <c r="AV87" s="137">
        <v>1.7809999999999999</v>
      </c>
      <c r="AW87" s="137">
        <v>43.521000000000001</v>
      </c>
      <c r="AX87" s="137">
        <v>6.673</v>
      </c>
      <c r="AY87" s="138">
        <v>0.628</v>
      </c>
      <c r="AZ87" s="138">
        <v>0.124</v>
      </c>
      <c r="BA87" s="138">
        <v>0.755</v>
      </c>
      <c r="BB87" s="138">
        <v>0.129</v>
      </c>
      <c r="BC87" s="138">
        <v>0.81699999999999995</v>
      </c>
      <c r="BD87" s="138">
        <v>0.13400000000000001</v>
      </c>
      <c r="BE87" s="138">
        <v>0.76600000000000001</v>
      </c>
      <c r="BF87" s="138">
        <v>0.13100000000000001</v>
      </c>
      <c r="BG87" s="138">
        <v>0.15</v>
      </c>
      <c r="BH87" s="138">
        <v>4.5999999999999999E-2</v>
      </c>
    </row>
    <row r="88" spans="1:60" x14ac:dyDescent="0.2">
      <c r="A88" s="22">
        <v>85</v>
      </c>
      <c r="B88" s="21" t="s">
        <v>187</v>
      </c>
      <c r="C88" s="44"/>
      <c r="D88" s="140">
        <v>44477</v>
      </c>
      <c r="E88" s="4" t="s">
        <v>0</v>
      </c>
      <c r="F88" s="109" t="s">
        <v>62</v>
      </c>
      <c r="G88" s="109" t="s">
        <v>13</v>
      </c>
      <c r="H88" s="4" t="s">
        <v>81</v>
      </c>
      <c r="I88" s="76" t="s">
        <v>82</v>
      </c>
      <c r="J88" s="4" t="s">
        <v>280</v>
      </c>
      <c r="K88" s="4" t="s">
        <v>3</v>
      </c>
      <c r="L88" s="26" t="s">
        <v>84</v>
      </c>
      <c r="M88" s="127">
        <v>41.6</v>
      </c>
      <c r="N88" s="120">
        <v>1.59</v>
      </c>
      <c r="O88" s="25">
        <f t="shared" si="17"/>
        <v>16.455045290929945</v>
      </c>
      <c r="P88" s="4">
        <v>1</v>
      </c>
      <c r="Q88" s="134">
        <v>8.73</v>
      </c>
      <c r="R88" s="27">
        <f t="shared" si="18"/>
        <v>0.45819014891179838</v>
      </c>
      <c r="S88" s="4" t="s">
        <v>0</v>
      </c>
      <c r="T88" s="68" t="s">
        <v>84</v>
      </c>
      <c r="U88" s="23" t="str">
        <f t="shared" si="13"/>
        <v>NO</v>
      </c>
      <c r="V88" s="127">
        <v>3.9</v>
      </c>
      <c r="W88" s="23" t="str">
        <f t="shared" si="19"/>
        <v>YES</v>
      </c>
      <c r="X88" s="68" t="s">
        <v>0</v>
      </c>
      <c r="Y88" s="23">
        <f t="shared" si="14"/>
        <v>2</v>
      </c>
      <c r="Z88" s="15">
        <v>4</v>
      </c>
      <c r="AA88" s="28">
        <f t="shared" si="15"/>
        <v>1</v>
      </c>
      <c r="AB88" s="4">
        <v>1</v>
      </c>
      <c r="AC88" s="24">
        <f t="shared" si="16"/>
        <v>6</v>
      </c>
      <c r="AD88" s="120">
        <v>18.559999999999999</v>
      </c>
      <c r="AE88" s="9">
        <v>22</v>
      </c>
      <c r="AF88" s="138">
        <v>806.08</v>
      </c>
      <c r="AG88" s="137">
        <v>1546.222</v>
      </c>
      <c r="AH88" s="32">
        <v>1004</v>
      </c>
      <c r="AI88" s="138">
        <v>1.5569999999999999</v>
      </c>
      <c r="AJ88" s="138">
        <v>0.11899999999999999</v>
      </c>
      <c r="AK88" s="137">
        <v>8.4</v>
      </c>
      <c r="AL88" s="137">
        <v>1.53</v>
      </c>
      <c r="AM88" s="137">
        <v>48.64</v>
      </c>
      <c r="AN88" s="137">
        <v>4.5599999999999996</v>
      </c>
      <c r="AO88" s="137">
        <v>16.079999999999998</v>
      </c>
      <c r="AP88" s="137">
        <v>1.96</v>
      </c>
      <c r="AQ88" s="137">
        <v>27.2</v>
      </c>
      <c r="AR88" s="137">
        <v>2.4700000000000002</v>
      </c>
      <c r="AS88" s="137">
        <v>-43.73</v>
      </c>
      <c r="AT88" s="137">
        <v>5.95</v>
      </c>
      <c r="AU88" s="137">
        <v>8.9190000000000005</v>
      </c>
      <c r="AV88" s="137">
        <v>2.3170000000000002</v>
      </c>
      <c r="AW88" s="137">
        <v>38.65</v>
      </c>
      <c r="AX88" s="137">
        <v>2.8820000000000001</v>
      </c>
      <c r="AY88" s="138">
        <v>0.56599999999999995</v>
      </c>
      <c r="AZ88" s="138">
        <v>9.1999999999999998E-2</v>
      </c>
      <c r="BA88" s="138">
        <v>0.83099999999999996</v>
      </c>
      <c r="BB88" s="138">
        <v>0.126</v>
      </c>
      <c r="BC88" s="138">
        <v>0.874</v>
      </c>
      <c r="BD88" s="138">
        <v>0.13200000000000001</v>
      </c>
      <c r="BE88" s="138">
        <v>0.84499999999999997</v>
      </c>
      <c r="BF88" s="138">
        <v>0.129</v>
      </c>
      <c r="BG88" s="138">
        <v>7.3999999999999996E-2</v>
      </c>
      <c r="BH88" s="138">
        <v>1.2999999999999999E-2</v>
      </c>
    </row>
    <row r="89" spans="1:60" x14ac:dyDescent="0.2">
      <c r="A89" s="22">
        <v>86</v>
      </c>
      <c r="B89" s="21" t="s">
        <v>188</v>
      </c>
      <c r="C89" s="44"/>
      <c r="D89" s="140">
        <v>44495</v>
      </c>
      <c r="E89" s="4" t="s">
        <v>84</v>
      </c>
      <c r="F89" s="109" t="s">
        <v>62</v>
      </c>
      <c r="G89" s="109" t="s">
        <v>13</v>
      </c>
      <c r="H89" s="4" t="s">
        <v>81</v>
      </c>
      <c r="I89" s="76" t="s">
        <v>83</v>
      </c>
      <c r="J89" s="4" t="s">
        <v>282</v>
      </c>
      <c r="K89" s="4" t="s">
        <v>3</v>
      </c>
      <c r="L89" s="26" t="s">
        <v>84</v>
      </c>
      <c r="M89" s="127">
        <v>68.599999999999994</v>
      </c>
      <c r="N89" s="120">
        <v>1.5</v>
      </c>
      <c r="O89" s="25">
        <f t="shared" si="17"/>
        <v>30.488888888888887</v>
      </c>
      <c r="P89" s="4">
        <v>1</v>
      </c>
      <c r="Q89" s="134">
        <v>3.65</v>
      </c>
      <c r="R89" s="27">
        <f t="shared" si="18"/>
        <v>1.095890410958904</v>
      </c>
      <c r="S89" s="4" t="s">
        <v>0</v>
      </c>
      <c r="T89" s="68" t="s">
        <v>0</v>
      </c>
      <c r="U89" s="23" t="str">
        <f t="shared" si="13"/>
        <v>NO</v>
      </c>
      <c r="V89" s="127">
        <v>13.1</v>
      </c>
      <c r="W89" s="23" t="str">
        <f t="shared" si="19"/>
        <v>NO</v>
      </c>
      <c r="X89" s="68" t="s">
        <v>0</v>
      </c>
      <c r="Y89" s="23">
        <f t="shared" si="14"/>
        <v>0</v>
      </c>
      <c r="Z89" s="15">
        <v>2</v>
      </c>
      <c r="AA89" s="28">
        <f t="shared" si="15"/>
        <v>4</v>
      </c>
      <c r="AB89" s="4">
        <v>4</v>
      </c>
      <c r="AC89" s="24">
        <f t="shared" si="16"/>
        <v>10</v>
      </c>
      <c r="AD89" s="120">
        <v>8.9700000000000006</v>
      </c>
      <c r="AE89" s="9">
        <v>14</v>
      </c>
      <c r="AF89" s="138">
        <v>1105.23</v>
      </c>
      <c r="AG89" s="137">
        <v>1743.867</v>
      </c>
      <c r="AH89" s="32">
        <v>1332</v>
      </c>
      <c r="AI89" s="138">
        <v>1.333</v>
      </c>
      <c r="AJ89" s="138">
        <v>0.16700000000000001</v>
      </c>
      <c r="AK89" s="137">
        <v>9.9499999999999993</v>
      </c>
      <c r="AL89" s="137">
        <v>2.1</v>
      </c>
      <c r="AM89" s="137">
        <v>45.09</v>
      </c>
      <c r="AN89" s="137">
        <v>4.21</v>
      </c>
      <c r="AO89" s="137">
        <v>16.13</v>
      </c>
      <c r="AP89" s="137">
        <v>2.0699999999999998</v>
      </c>
      <c r="AQ89" s="137">
        <v>28.58</v>
      </c>
      <c r="AR89" s="137">
        <v>2.85</v>
      </c>
      <c r="AS89" s="137">
        <v>-46.555999999999997</v>
      </c>
      <c r="AT89" s="137">
        <v>7.1130000000000004</v>
      </c>
      <c r="AU89" s="137">
        <v>13.183</v>
      </c>
      <c r="AV89" s="137">
        <v>2.8969999999999998</v>
      </c>
      <c r="AW89" s="137">
        <v>45.45</v>
      </c>
      <c r="AX89" s="137">
        <v>5.9189999999999996</v>
      </c>
      <c r="AY89" s="138">
        <v>0.68799999999999994</v>
      </c>
      <c r="AZ89" s="138">
        <v>0.10100000000000001</v>
      </c>
      <c r="BA89" s="138">
        <v>0.85399999999999998</v>
      </c>
      <c r="BB89" s="138">
        <v>0.10100000000000001</v>
      </c>
      <c r="BC89" s="138">
        <v>0.90600000000000003</v>
      </c>
      <c r="BD89" s="138">
        <v>0.105</v>
      </c>
      <c r="BE89" s="138">
        <v>0.872</v>
      </c>
      <c r="BF89" s="138">
        <v>0.104</v>
      </c>
      <c r="BG89" s="138">
        <v>0.123</v>
      </c>
      <c r="BH89" s="138">
        <v>3.9E-2</v>
      </c>
    </row>
    <row r="90" spans="1:60" x14ac:dyDescent="0.2">
      <c r="A90" s="22">
        <v>87</v>
      </c>
      <c r="B90" s="21" t="s">
        <v>189</v>
      </c>
      <c r="C90" s="44"/>
      <c r="D90" s="140">
        <v>44511</v>
      </c>
      <c r="E90" s="4" t="s">
        <v>84</v>
      </c>
      <c r="F90" s="109" t="s">
        <v>62</v>
      </c>
      <c r="G90" s="109" t="s">
        <v>13</v>
      </c>
      <c r="H90" s="4" t="s">
        <v>81</v>
      </c>
      <c r="I90" s="76" t="s">
        <v>83</v>
      </c>
      <c r="J90" s="4" t="s">
        <v>279</v>
      </c>
      <c r="K90" s="4" t="s">
        <v>3</v>
      </c>
      <c r="L90" s="26" t="s">
        <v>84</v>
      </c>
      <c r="M90" s="127">
        <v>62</v>
      </c>
      <c r="N90" s="120">
        <v>1.53</v>
      </c>
      <c r="O90" s="25">
        <f t="shared" si="17"/>
        <v>26.485539749668931</v>
      </c>
      <c r="P90" s="4">
        <v>5</v>
      </c>
      <c r="Q90" s="134">
        <v>4.84</v>
      </c>
      <c r="R90" s="27">
        <f t="shared" si="18"/>
        <v>0.82644628099173556</v>
      </c>
      <c r="S90" s="4" t="s">
        <v>0</v>
      </c>
      <c r="T90" s="68" t="s">
        <v>84</v>
      </c>
      <c r="U90" s="23" t="str">
        <f t="shared" si="13"/>
        <v>NO</v>
      </c>
      <c r="V90" s="127">
        <v>21</v>
      </c>
      <c r="W90" s="23" t="str">
        <f t="shared" si="19"/>
        <v>NO</v>
      </c>
      <c r="X90" s="68" t="s">
        <v>0</v>
      </c>
      <c r="Y90" s="23">
        <f t="shared" si="14"/>
        <v>1</v>
      </c>
      <c r="Z90" s="15">
        <v>4</v>
      </c>
      <c r="AA90" s="28">
        <f t="shared" si="15"/>
        <v>3</v>
      </c>
      <c r="AB90" s="4">
        <v>4</v>
      </c>
      <c r="AC90" s="24">
        <f t="shared" si="16"/>
        <v>11</v>
      </c>
      <c r="AD90" s="120">
        <v>10.220000000000001</v>
      </c>
      <c r="AE90" s="9">
        <v>8</v>
      </c>
      <c r="AF90" s="138">
        <v>1099.3009999999999</v>
      </c>
      <c r="AG90" s="137">
        <v>1579.9939999999999</v>
      </c>
      <c r="AH90" s="32">
        <v>1133</v>
      </c>
      <c r="AI90" s="138">
        <v>1.411</v>
      </c>
      <c r="AJ90" s="138">
        <v>0.14899999999999999</v>
      </c>
      <c r="AK90" s="137">
        <v>8.9</v>
      </c>
      <c r="AL90" s="137">
        <v>1.68</v>
      </c>
      <c r="AM90" s="137">
        <v>44.7</v>
      </c>
      <c r="AN90" s="137">
        <v>4.32</v>
      </c>
      <c r="AO90" s="137">
        <v>20.25</v>
      </c>
      <c r="AP90" s="137">
        <v>2.41</v>
      </c>
      <c r="AQ90" s="137">
        <v>26.1</v>
      </c>
      <c r="AR90" s="137">
        <v>2.73</v>
      </c>
      <c r="AS90" s="137">
        <v>-66.816999999999993</v>
      </c>
      <c r="AT90" s="137">
        <v>6.3040000000000003</v>
      </c>
      <c r="AU90" s="137">
        <v>15.497</v>
      </c>
      <c r="AV90" s="137">
        <v>3.4</v>
      </c>
      <c r="AW90" s="137">
        <v>42.905000000000001</v>
      </c>
      <c r="AX90" s="137">
        <v>4.8079999999999998</v>
      </c>
      <c r="AY90" s="138">
        <v>0.747</v>
      </c>
      <c r="AZ90" s="138">
        <v>0.107</v>
      </c>
      <c r="BA90" s="138">
        <v>0.99399999999999999</v>
      </c>
      <c r="BB90" s="138">
        <v>0.124</v>
      </c>
      <c r="BC90" s="138">
        <v>1.044</v>
      </c>
      <c r="BD90" s="138">
        <v>0.13</v>
      </c>
      <c r="BE90" s="138">
        <v>1.0189999999999999</v>
      </c>
      <c r="BF90" s="138">
        <v>0.125</v>
      </c>
      <c r="BG90" s="138">
        <v>8.5999999999999993E-2</v>
      </c>
      <c r="BH90" s="138">
        <v>2.5999999999999999E-2</v>
      </c>
    </row>
    <row r="91" spans="1:60" x14ac:dyDescent="0.2">
      <c r="A91" s="22">
        <v>88</v>
      </c>
      <c r="B91" s="21" t="s">
        <v>190</v>
      </c>
      <c r="C91" s="44"/>
      <c r="D91" s="140">
        <v>44530</v>
      </c>
      <c r="E91" s="4" t="s">
        <v>84</v>
      </c>
      <c r="F91" s="109" t="s">
        <v>62</v>
      </c>
      <c r="G91" s="109" t="s">
        <v>13</v>
      </c>
      <c r="H91" s="4" t="s">
        <v>81</v>
      </c>
      <c r="I91" s="76" t="s">
        <v>83</v>
      </c>
      <c r="J91" s="4" t="s">
        <v>282</v>
      </c>
      <c r="K91" s="4" t="s">
        <v>3</v>
      </c>
      <c r="L91" s="26" t="s">
        <v>84</v>
      </c>
      <c r="M91" s="127">
        <v>63.6</v>
      </c>
      <c r="N91" s="120">
        <v>1.6</v>
      </c>
      <c r="O91" s="25">
        <f t="shared" si="17"/>
        <v>24.843749999999996</v>
      </c>
      <c r="P91" s="4">
        <v>5</v>
      </c>
      <c r="Q91" s="134">
        <v>8.4</v>
      </c>
      <c r="R91" s="27">
        <f t="shared" si="18"/>
        <v>0.47619047619047616</v>
      </c>
      <c r="S91" s="4" t="s">
        <v>0</v>
      </c>
      <c r="T91" s="18" t="s">
        <v>105</v>
      </c>
      <c r="U91" s="23" t="str">
        <f t="shared" si="13"/>
        <v>NO</v>
      </c>
      <c r="V91" s="127">
        <v>7.7</v>
      </c>
      <c r="W91" s="23" t="str">
        <f t="shared" si="19"/>
        <v>YES</v>
      </c>
      <c r="X91" s="68" t="s">
        <v>0</v>
      </c>
      <c r="Y91" s="23">
        <f t="shared" si="14"/>
        <v>1</v>
      </c>
      <c r="Z91" s="15">
        <v>1</v>
      </c>
      <c r="AA91" s="28">
        <f t="shared" si="15"/>
        <v>2</v>
      </c>
      <c r="AB91" s="4">
        <v>2</v>
      </c>
      <c r="AC91" s="24">
        <f t="shared" si="16"/>
        <v>5</v>
      </c>
      <c r="AD91" s="120">
        <v>21.23</v>
      </c>
      <c r="AE91" s="5" t="s">
        <v>105</v>
      </c>
      <c r="AF91" s="138">
        <v>750.34100000000001</v>
      </c>
      <c r="AG91" s="137">
        <v>1465.796</v>
      </c>
      <c r="AH91" s="32">
        <v>1153</v>
      </c>
      <c r="AI91" s="138">
        <v>1.3049999999999999</v>
      </c>
      <c r="AJ91" s="138">
        <v>0.121</v>
      </c>
      <c r="AK91" s="137">
        <v>9.0500000000000007</v>
      </c>
      <c r="AL91" s="137">
        <v>1.5</v>
      </c>
      <c r="AM91" s="137">
        <v>50.29</v>
      </c>
      <c r="AN91" s="137">
        <v>4.2</v>
      </c>
      <c r="AO91" s="137">
        <v>15.11</v>
      </c>
      <c r="AP91" s="137">
        <v>1.6</v>
      </c>
      <c r="AQ91" s="137">
        <v>25.57</v>
      </c>
      <c r="AR91" s="137">
        <v>2.61</v>
      </c>
      <c r="AS91" s="137">
        <v>-44.704000000000001</v>
      </c>
      <c r="AT91" s="137">
        <v>5.5709999999999997</v>
      </c>
      <c r="AU91" s="137">
        <v>10.355</v>
      </c>
      <c r="AV91" s="137">
        <v>2.173</v>
      </c>
      <c r="AW91" s="137">
        <v>46.006</v>
      </c>
      <c r="AX91" s="137">
        <v>4.6660000000000004</v>
      </c>
      <c r="AY91" s="138">
        <v>0.57599999999999996</v>
      </c>
      <c r="AZ91" s="138">
        <v>0.09</v>
      </c>
      <c r="BA91" s="138">
        <v>0.68600000000000005</v>
      </c>
      <c r="BB91" s="138">
        <v>9.4E-2</v>
      </c>
      <c r="BC91" s="138">
        <v>0.74099999999999999</v>
      </c>
      <c r="BD91" s="138">
        <v>9.6000000000000002E-2</v>
      </c>
      <c r="BE91" s="138">
        <v>0.70499999999999996</v>
      </c>
      <c r="BF91" s="138">
        <v>9.7000000000000003E-2</v>
      </c>
      <c r="BG91" s="138">
        <v>0.13200000000000001</v>
      </c>
      <c r="BH91" s="138">
        <v>3.5000000000000003E-2</v>
      </c>
    </row>
    <row r="92" spans="1:60" x14ac:dyDescent="0.2">
      <c r="A92" s="22">
        <v>89</v>
      </c>
      <c r="B92" s="21" t="s">
        <v>191</v>
      </c>
      <c r="C92" s="44"/>
      <c r="D92" s="140">
        <v>44532</v>
      </c>
      <c r="E92" s="4" t="s">
        <v>84</v>
      </c>
      <c r="F92" s="109" t="s">
        <v>62</v>
      </c>
      <c r="G92" s="109" t="s">
        <v>13</v>
      </c>
      <c r="H92" s="4" t="s">
        <v>81</v>
      </c>
      <c r="I92" s="76" t="s">
        <v>83</v>
      </c>
      <c r="J92" s="4" t="s">
        <v>282</v>
      </c>
      <c r="K92" s="4" t="s">
        <v>3</v>
      </c>
      <c r="L92" s="26" t="s">
        <v>84</v>
      </c>
      <c r="M92" s="127">
        <v>52.2</v>
      </c>
      <c r="N92" s="120">
        <v>1.48</v>
      </c>
      <c r="O92" s="25">
        <f t="shared" si="17"/>
        <v>23.831263696128563</v>
      </c>
      <c r="P92" s="4">
        <v>6</v>
      </c>
      <c r="Q92" s="134">
        <v>7.1</v>
      </c>
      <c r="R92" s="27">
        <f t="shared" si="18"/>
        <v>0.56338028169014087</v>
      </c>
      <c r="S92" s="4" t="s">
        <v>0</v>
      </c>
      <c r="T92" s="18" t="s">
        <v>105</v>
      </c>
      <c r="U92" s="23" t="str">
        <f t="shared" si="13"/>
        <v>NO</v>
      </c>
      <c r="V92" s="127">
        <v>10.199999999999999</v>
      </c>
      <c r="W92" s="23" t="str">
        <f t="shared" si="19"/>
        <v>YES</v>
      </c>
      <c r="X92" s="68" t="s">
        <v>0</v>
      </c>
      <c r="Y92" s="23">
        <f t="shared" si="14"/>
        <v>1</v>
      </c>
      <c r="Z92" s="15">
        <v>2</v>
      </c>
      <c r="AA92" s="28">
        <f t="shared" si="15"/>
        <v>2</v>
      </c>
      <c r="AB92" s="4">
        <v>1</v>
      </c>
      <c r="AC92" s="24">
        <f t="shared" si="16"/>
        <v>5</v>
      </c>
      <c r="AD92" s="120">
        <v>17</v>
      </c>
      <c r="AE92" s="5" t="s">
        <v>105</v>
      </c>
      <c r="AF92" s="138">
        <v>944.65</v>
      </c>
      <c r="AG92" s="137">
        <v>1650.3679999999999</v>
      </c>
      <c r="AH92" s="32">
        <v>1707</v>
      </c>
      <c r="AI92" s="138">
        <v>0.98699999999999999</v>
      </c>
      <c r="AJ92" s="138">
        <v>9.0999999999999998E-2</v>
      </c>
      <c r="AK92" s="137">
        <v>13.13</v>
      </c>
      <c r="AL92" s="137">
        <v>3.17</v>
      </c>
      <c r="AM92" s="137">
        <v>42.77</v>
      </c>
      <c r="AN92" s="137">
        <v>6.02</v>
      </c>
      <c r="AO92" s="137">
        <v>15.55</v>
      </c>
      <c r="AP92" s="137">
        <v>2.0099999999999998</v>
      </c>
      <c r="AQ92" s="137">
        <v>28.54</v>
      </c>
      <c r="AR92" s="137">
        <v>2.4700000000000002</v>
      </c>
      <c r="AS92" s="137">
        <v>-28.28</v>
      </c>
      <c r="AT92" s="137">
        <v>4.5540000000000003</v>
      </c>
      <c r="AU92" s="137">
        <v>6.2210000000000001</v>
      </c>
      <c r="AV92" s="137">
        <v>1.6639999999999999</v>
      </c>
      <c r="AW92" s="137">
        <v>61.078000000000003</v>
      </c>
      <c r="AX92" s="137">
        <v>6.1429999999999998</v>
      </c>
      <c r="AY92" s="138">
        <v>0.629</v>
      </c>
      <c r="AZ92" s="138">
        <v>0.104</v>
      </c>
      <c r="BA92" s="138">
        <v>0.58599999999999997</v>
      </c>
      <c r="BB92" s="138">
        <v>9.5000000000000001E-2</v>
      </c>
      <c r="BC92" s="138">
        <v>0.62</v>
      </c>
      <c r="BD92" s="138">
        <v>0.1</v>
      </c>
      <c r="BE92" s="138">
        <v>0.59499999999999997</v>
      </c>
      <c r="BF92" s="138">
        <v>9.7000000000000003E-2</v>
      </c>
      <c r="BG92" s="138">
        <v>6.5000000000000002E-2</v>
      </c>
      <c r="BH92" s="138">
        <v>1.7000000000000001E-2</v>
      </c>
    </row>
    <row r="93" spans="1:60" x14ac:dyDescent="0.2">
      <c r="A93" s="22">
        <v>90</v>
      </c>
      <c r="B93" s="21" t="s">
        <v>192</v>
      </c>
      <c r="C93" s="44"/>
      <c r="D93" s="140">
        <v>44532</v>
      </c>
      <c r="E93" s="4" t="s">
        <v>0</v>
      </c>
      <c r="F93" s="109" t="s">
        <v>62</v>
      </c>
      <c r="G93" s="109" t="s">
        <v>13</v>
      </c>
      <c r="H93" s="4" t="s">
        <v>81</v>
      </c>
      <c r="I93" s="76" t="s">
        <v>83</v>
      </c>
      <c r="J93" s="4" t="s">
        <v>283</v>
      </c>
      <c r="K93" s="4" t="s">
        <v>3</v>
      </c>
      <c r="L93" s="26" t="s">
        <v>84</v>
      </c>
      <c r="M93" s="127">
        <v>47.2</v>
      </c>
      <c r="N93" s="120">
        <v>1.55</v>
      </c>
      <c r="O93" s="25">
        <f t="shared" si="17"/>
        <v>19.646201873048906</v>
      </c>
      <c r="P93" s="4">
        <v>6</v>
      </c>
      <c r="Q93" s="134">
        <v>6.15</v>
      </c>
      <c r="R93" s="27">
        <f t="shared" si="18"/>
        <v>0.65040650406504064</v>
      </c>
      <c r="S93" s="4" t="s">
        <v>0</v>
      </c>
      <c r="T93" s="18" t="s">
        <v>105</v>
      </c>
      <c r="U93" s="23" t="str">
        <f t="shared" si="13"/>
        <v>NO</v>
      </c>
      <c r="V93" s="127">
        <v>9.4</v>
      </c>
      <c r="W93" s="23" t="str">
        <f t="shared" si="19"/>
        <v>YES</v>
      </c>
      <c r="X93" s="68" t="s">
        <v>0</v>
      </c>
      <c r="Y93" s="23">
        <f t="shared" si="14"/>
        <v>1</v>
      </c>
      <c r="Z93" s="15">
        <v>3</v>
      </c>
      <c r="AA93" s="28">
        <f t="shared" si="15"/>
        <v>3</v>
      </c>
      <c r="AB93" s="4">
        <v>3</v>
      </c>
      <c r="AC93" s="24">
        <f t="shared" si="16"/>
        <v>9</v>
      </c>
      <c r="AD93" s="120">
        <v>13.2</v>
      </c>
      <c r="AE93" s="5" t="s">
        <v>105</v>
      </c>
      <c r="AF93" s="138">
        <v>948.16499999999996</v>
      </c>
      <c r="AG93" s="137">
        <v>1387.509</v>
      </c>
      <c r="AH93" s="32">
        <v>1155</v>
      </c>
      <c r="AI93" s="138">
        <v>1.226</v>
      </c>
      <c r="AJ93" s="138">
        <v>0.114</v>
      </c>
      <c r="AK93" s="137">
        <v>11.3</v>
      </c>
      <c r="AL93" s="137">
        <v>1.86</v>
      </c>
      <c r="AM93" s="137">
        <v>42.22</v>
      </c>
      <c r="AN93" s="137">
        <v>4.93</v>
      </c>
      <c r="AO93" s="137">
        <v>17.95</v>
      </c>
      <c r="AP93" s="137">
        <v>2.31</v>
      </c>
      <c r="AQ93" s="137">
        <v>28.41</v>
      </c>
      <c r="AR93" s="137">
        <v>2.64</v>
      </c>
      <c r="AS93" s="137">
        <v>-46.843000000000004</v>
      </c>
      <c r="AT93" s="137">
        <v>7.226</v>
      </c>
      <c r="AU93" s="137">
        <v>15.867000000000001</v>
      </c>
      <c r="AV93" s="137">
        <v>3.177</v>
      </c>
      <c r="AW93" s="137">
        <v>49.081000000000003</v>
      </c>
      <c r="AX93" s="137">
        <v>4.5629999999999997</v>
      </c>
      <c r="AY93" s="138">
        <v>0.77900000000000003</v>
      </c>
      <c r="AZ93" s="138">
        <v>0.122</v>
      </c>
      <c r="BA93" s="138">
        <v>0.878</v>
      </c>
      <c r="BB93" s="138">
        <v>0.13300000000000001</v>
      </c>
      <c r="BC93" s="138">
        <v>0.93500000000000005</v>
      </c>
      <c r="BD93" s="138">
        <v>0.13300000000000001</v>
      </c>
      <c r="BE93" s="138">
        <v>0.88900000000000001</v>
      </c>
      <c r="BF93" s="138">
        <v>0.13400000000000001</v>
      </c>
      <c r="BG93" s="138">
        <v>8.7999999999999995E-2</v>
      </c>
      <c r="BH93" s="138">
        <v>1.9E-2</v>
      </c>
    </row>
    <row r="94" spans="1:60" x14ac:dyDescent="0.2">
      <c r="A94" s="22">
        <v>91</v>
      </c>
      <c r="B94" s="21" t="s">
        <v>193</v>
      </c>
      <c r="C94" s="44"/>
      <c r="D94" s="140">
        <v>44468</v>
      </c>
      <c r="E94" s="1" t="s">
        <v>0</v>
      </c>
      <c r="F94" s="109" t="s">
        <v>62</v>
      </c>
      <c r="G94" s="111" t="s">
        <v>7</v>
      </c>
      <c r="H94" s="1" t="s">
        <v>81</v>
      </c>
      <c r="I94" s="75" t="s">
        <v>83</v>
      </c>
      <c r="J94" s="1" t="s">
        <v>280</v>
      </c>
      <c r="K94" s="1" t="s">
        <v>5</v>
      </c>
      <c r="L94" s="21" t="s">
        <v>84</v>
      </c>
      <c r="M94" s="125">
        <v>62.7</v>
      </c>
      <c r="N94" s="118">
        <v>1.65</v>
      </c>
      <c r="O94" s="25">
        <f t="shared" si="17"/>
        <v>23.030303030303035</v>
      </c>
      <c r="P94" s="1">
        <v>1</v>
      </c>
      <c r="Q94" s="132">
        <v>3.59</v>
      </c>
      <c r="R94" s="27">
        <f t="shared" si="18"/>
        <v>1.1142061281337048</v>
      </c>
      <c r="S94" s="1" t="s">
        <v>0</v>
      </c>
      <c r="T94" s="67" t="s">
        <v>0</v>
      </c>
      <c r="U94" s="23" t="str">
        <f t="shared" si="13"/>
        <v>NO</v>
      </c>
      <c r="V94" s="125">
        <v>21.7</v>
      </c>
      <c r="W94" s="23" t="str">
        <f t="shared" si="19"/>
        <v>NO</v>
      </c>
      <c r="X94" s="67" t="s">
        <v>0</v>
      </c>
      <c r="Y94" s="23">
        <f t="shared" si="14"/>
        <v>0</v>
      </c>
      <c r="Z94" s="12">
        <v>4</v>
      </c>
      <c r="AA94" s="28">
        <f t="shared" si="15"/>
        <v>4</v>
      </c>
      <c r="AB94" s="1">
        <v>3</v>
      </c>
      <c r="AC94" s="24">
        <f t="shared" si="16"/>
        <v>11</v>
      </c>
      <c r="AD94" s="118">
        <v>9.49</v>
      </c>
      <c r="AE94" s="6">
        <v>9</v>
      </c>
      <c r="AF94" s="138">
        <v>1033.675</v>
      </c>
      <c r="AG94" s="137">
        <v>1946.35</v>
      </c>
      <c r="AH94" s="32">
        <v>1302</v>
      </c>
      <c r="AI94" s="138">
        <v>1.508</v>
      </c>
      <c r="AJ94" s="138">
        <v>0.152</v>
      </c>
      <c r="AK94" s="137">
        <v>10.65</v>
      </c>
      <c r="AL94" s="137">
        <v>2.12</v>
      </c>
      <c r="AM94" s="137">
        <v>44.2</v>
      </c>
      <c r="AN94" s="137">
        <v>4.82</v>
      </c>
      <c r="AO94" s="137">
        <v>15.86</v>
      </c>
      <c r="AP94" s="137">
        <v>2.0099999999999998</v>
      </c>
      <c r="AQ94" s="137">
        <v>29.15</v>
      </c>
      <c r="AR94" s="137">
        <v>3.07</v>
      </c>
      <c r="AS94" s="137">
        <v>-41.671999999999997</v>
      </c>
      <c r="AT94" s="137">
        <v>5.3520000000000003</v>
      </c>
      <c r="AU94" s="137">
        <v>14.324</v>
      </c>
      <c r="AV94" s="137">
        <v>3.319</v>
      </c>
      <c r="AW94" s="137">
        <v>40.082000000000001</v>
      </c>
      <c r="AX94" s="137">
        <v>3.9510000000000001</v>
      </c>
      <c r="AY94" s="138">
        <v>0.60699999999999998</v>
      </c>
      <c r="AZ94" s="138">
        <v>0.112</v>
      </c>
      <c r="BA94" s="138">
        <v>0.84899999999999998</v>
      </c>
      <c r="BB94" s="138">
        <v>0.129</v>
      </c>
      <c r="BC94" s="138">
        <v>0.89300000000000002</v>
      </c>
      <c r="BD94" s="138">
        <v>0.14000000000000001</v>
      </c>
      <c r="BE94" s="138">
        <v>0.85799999999999998</v>
      </c>
      <c r="BF94" s="138">
        <v>0.13300000000000001</v>
      </c>
      <c r="BG94" s="138">
        <v>9.4E-2</v>
      </c>
      <c r="BH94" s="138">
        <v>2.7E-2</v>
      </c>
    </row>
    <row r="95" spans="1:60" x14ac:dyDescent="0.2">
      <c r="A95" s="22">
        <v>92</v>
      </c>
      <c r="B95" s="21" t="s">
        <v>194</v>
      </c>
      <c r="C95" s="44"/>
      <c r="D95" s="140">
        <v>44477</v>
      </c>
      <c r="E95" s="1" t="s">
        <v>84</v>
      </c>
      <c r="F95" s="109" t="s">
        <v>62</v>
      </c>
      <c r="G95" s="111" t="s">
        <v>7</v>
      </c>
      <c r="H95" s="1" t="s">
        <v>81</v>
      </c>
      <c r="I95" s="75" t="s">
        <v>83</v>
      </c>
      <c r="J95" s="1" t="s">
        <v>284</v>
      </c>
      <c r="K95" s="1" t="s">
        <v>3</v>
      </c>
      <c r="L95" s="21" t="s">
        <v>84</v>
      </c>
      <c r="M95" s="125">
        <v>58.7</v>
      </c>
      <c r="N95" s="118">
        <v>1.54</v>
      </c>
      <c r="O95" s="25">
        <f t="shared" si="17"/>
        <v>24.751222803170858</v>
      </c>
      <c r="P95" s="1">
        <v>1</v>
      </c>
      <c r="Q95" s="132">
        <v>5.15</v>
      </c>
      <c r="R95" s="27">
        <f t="shared" si="18"/>
        <v>0.77669902912621358</v>
      </c>
      <c r="S95" s="1" t="s">
        <v>0</v>
      </c>
      <c r="T95" s="67" t="s">
        <v>84</v>
      </c>
      <c r="U95" s="23" t="str">
        <f t="shared" si="13"/>
        <v>NO</v>
      </c>
      <c r="V95" s="125">
        <v>15.8</v>
      </c>
      <c r="W95" s="23" t="str">
        <f t="shared" si="19"/>
        <v>NO</v>
      </c>
      <c r="X95" s="67" t="s">
        <v>0</v>
      </c>
      <c r="Y95" s="23">
        <f t="shared" si="14"/>
        <v>1</v>
      </c>
      <c r="Z95" s="12">
        <v>1</v>
      </c>
      <c r="AA95" s="28">
        <f t="shared" si="15"/>
        <v>3</v>
      </c>
      <c r="AB95" s="1">
        <v>4</v>
      </c>
      <c r="AC95" s="24">
        <f t="shared" si="16"/>
        <v>8</v>
      </c>
      <c r="AD95" s="118">
        <v>9.7799999999999994</v>
      </c>
      <c r="AE95" s="6">
        <v>17</v>
      </c>
      <c r="AF95" s="138">
        <v>818.56700000000001</v>
      </c>
      <c r="AG95" s="137">
        <v>1563.1489999999999</v>
      </c>
      <c r="AH95" s="32">
        <v>1004</v>
      </c>
      <c r="AI95" s="138">
        <v>1.5680000000000001</v>
      </c>
      <c r="AJ95" s="138">
        <v>0.158</v>
      </c>
      <c r="AK95" s="137">
        <v>13.06</v>
      </c>
      <c r="AL95" s="137">
        <v>2.69</v>
      </c>
      <c r="AM95" s="137">
        <v>45.93</v>
      </c>
      <c r="AN95" s="137">
        <v>4.7</v>
      </c>
      <c r="AO95" s="137">
        <v>15.72</v>
      </c>
      <c r="AP95" s="137">
        <v>2.0699999999999998</v>
      </c>
      <c r="AQ95" s="137">
        <v>25.15</v>
      </c>
      <c r="AR95" s="137">
        <v>2.67</v>
      </c>
      <c r="AS95" s="137">
        <v>-47.662999999999997</v>
      </c>
      <c r="AT95" s="137">
        <v>7.0650000000000004</v>
      </c>
      <c r="AU95" s="137">
        <v>17.704000000000001</v>
      </c>
      <c r="AV95" s="137">
        <v>3.3940000000000001</v>
      </c>
      <c r="AW95" s="137">
        <v>38.497999999999998</v>
      </c>
      <c r="AX95" s="137">
        <v>3.7890000000000001</v>
      </c>
      <c r="AY95" s="138">
        <v>0.58899999999999997</v>
      </c>
      <c r="AZ95" s="138">
        <v>9.5000000000000001E-2</v>
      </c>
      <c r="BA95" s="138">
        <v>0.86199999999999999</v>
      </c>
      <c r="BB95" s="138">
        <v>0.127</v>
      </c>
      <c r="BC95" s="138">
        <v>0.91200000000000003</v>
      </c>
      <c r="BD95" s="138">
        <v>0.13300000000000001</v>
      </c>
      <c r="BE95" s="138">
        <v>0.876</v>
      </c>
      <c r="BF95" s="138">
        <v>0.13</v>
      </c>
      <c r="BG95" s="138">
        <v>9.2999999999999999E-2</v>
      </c>
      <c r="BH95" s="138">
        <v>2.4E-2</v>
      </c>
    </row>
    <row r="96" spans="1:60" x14ac:dyDescent="0.2">
      <c r="A96" s="22">
        <v>93</v>
      </c>
      <c r="B96" s="21" t="s">
        <v>195</v>
      </c>
      <c r="C96" s="44"/>
      <c r="D96" s="140">
        <v>44489</v>
      </c>
      <c r="E96" s="1" t="s">
        <v>84</v>
      </c>
      <c r="F96" s="109" t="s">
        <v>62</v>
      </c>
      <c r="G96" s="111" t="s">
        <v>7</v>
      </c>
      <c r="H96" s="1" t="s">
        <v>81</v>
      </c>
      <c r="I96" s="75" t="s">
        <v>83</v>
      </c>
      <c r="J96" s="1" t="s">
        <v>281</v>
      </c>
      <c r="K96" s="1" t="s">
        <v>3</v>
      </c>
      <c r="L96" s="21" t="s">
        <v>84</v>
      </c>
      <c r="M96" s="125">
        <v>54.4</v>
      </c>
      <c r="N96" s="118">
        <v>1.5</v>
      </c>
      <c r="O96" s="25">
        <f t="shared" si="17"/>
        <v>24.177777777777777</v>
      </c>
      <c r="P96" s="1">
        <v>4</v>
      </c>
      <c r="Q96" s="132">
        <v>6.87</v>
      </c>
      <c r="R96" s="27">
        <f t="shared" si="18"/>
        <v>0.58224163027656473</v>
      </c>
      <c r="S96" s="1" t="s">
        <v>0</v>
      </c>
      <c r="T96" s="67" t="s">
        <v>84</v>
      </c>
      <c r="U96" s="23" t="str">
        <f t="shared" si="13"/>
        <v>NO</v>
      </c>
      <c r="V96" s="125">
        <v>20.8</v>
      </c>
      <c r="W96" s="23" t="str">
        <f t="shared" si="19"/>
        <v>NO</v>
      </c>
      <c r="X96" s="67" t="s">
        <v>0</v>
      </c>
      <c r="Y96" s="23">
        <f t="shared" si="14"/>
        <v>1</v>
      </c>
      <c r="Z96" s="12">
        <v>1</v>
      </c>
      <c r="AA96" s="28">
        <f t="shared" si="15"/>
        <v>2</v>
      </c>
      <c r="AB96" s="1">
        <v>2</v>
      </c>
      <c r="AC96" s="24">
        <f t="shared" si="16"/>
        <v>5</v>
      </c>
      <c r="AD96" s="118">
        <v>16.13</v>
      </c>
      <c r="AE96" s="6">
        <v>17</v>
      </c>
      <c r="AF96" s="138">
        <v>832.10299999999995</v>
      </c>
      <c r="AG96" s="137">
        <v>1277.5730000000001</v>
      </c>
      <c r="AH96" s="32">
        <v>1224</v>
      </c>
      <c r="AI96" s="138">
        <v>1.0509999999999999</v>
      </c>
      <c r="AJ96" s="138">
        <v>6.3E-2</v>
      </c>
      <c r="AK96" s="137">
        <v>11.28</v>
      </c>
      <c r="AL96" s="137">
        <v>1.56</v>
      </c>
      <c r="AM96" s="137">
        <v>47.3</v>
      </c>
      <c r="AN96" s="137">
        <v>3.41</v>
      </c>
      <c r="AO96" s="137">
        <v>14.52</v>
      </c>
      <c r="AP96" s="137">
        <v>1.18</v>
      </c>
      <c r="AQ96" s="137">
        <v>26.88</v>
      </c>
      <c r="AR96" s="137">
        <v>2.21</v>
      </c>
      <c r="AS96" s="137">
        <v>-40.585999999999999</v>
      </c>
      <c r="AT96" s="137">
        <v>4.8689999999999998</v>
      </c>
      <c r="AU96" s="137">
        <v>14.064</v>
      </c>
      <c r="AV96" s="137">
        <v>3.1190000000000002</v>
      </c>
      <c r="AW96" s="137">
        <v>57.185000000000002</v>
      </c>
      <c r="AX96" s="137">
        <v>3.778</v>
      </c>
      <c r="AY96" s="138">
        <v>0.69</v>
      </c>
      <c r="AZ96" s="138">
        <v>0.104</v>
      </c>
      <c r="BA96" s="138">
        <v>0.69099999999999995</v>
      </c>
      <c r="BB96" s="138">
        <v>9.0999999999999998E-2</v>
      </c>
      <c r="BC96" s="138">
        <v>0.72</v>
      </c>
      <c r="BD96" s="138">
        <v>9.4E-2</v>
      </c>
      <c r="BE96" s="138">
        <v>0.7</v>
      </c>
      <c r="BF96" s="138">
        <v>9.1999999999999998E-2</v>
      </c>
      <c r="BG96" s="138">
        <v>6.2E-2</v>
      </c>
      <c r="BH96" s="138">
        <v>0.02</v>
      </c>
    </row>
    <row r="97" spans="1:60" x14ac:dyDescent="0.2">
      <c r="A97" s="22">
        <v>94</v>
      </c>
      <c r="B97" s="21" t="s">
        <v>196</v>
      </c>
      <c r="C97" s="44"/>
      <c r="D97" s="140">
        <v>44516</v>
      </c>
      <c r="E97" s="1" t="s">
        <v>84</v>
      </c>
      <c r="F97" s="109" t="s">
        <v>62</v>
      </c>
      <c r="G97" s="111" t="s">
        <v>7</v>
      </c>
      <c r="H97" s="1" t="s">
        <v>81</v>
      </c>
      <c r="I97" s="75" t="s">
        <v>83</v>
      </c>
      <c r="J97" s="1" t="s">
        <v>284</v>
      </c>
      <c r="K97" s="1" t="s">
        <v>3</v>
      </c>
      <c r="L97" s="21" t="s">
        <v>84</v>
      </c>
      <c r="M97" s="125">
        <v>38.700000000000003</v>
      </c>
      <c r="N97" s="118">
        <v>1.49</v>
      </c>
      <c r="O97" s="25">
        <f t="shared" si="17"/>
        <v>17.431647223098061</v>
      </c>
      <c r="P97" s="1">
        <v>5</v>
      </c>
      <c r="Q97" s="132">
        <v>6.52</v>
      </c>
      <c r="R97" s="27">
        <f t="shared" si="18"/>
        <v>0.61349693251533743</v>
      </c>
      <c r="S97" s="1" t="s">
        <v>84</v>
      </c>
      <c r="T97" s="18" t="s">
        <v>105</v>
      </c>
      <c r="U97" s="23" t="str">
        <f t="shared" si="13"/>
        <v>NO</v>
      </c>
      <c r="V97" s="125">
        <v>18.2</v>
      </c>
      <c r="W97" s="23" t="str">
        <f t="shared" si="19"/>
        <v>NO</v>
      </c>
      <c r="X97" s="67" t="s">
        <v>0</v>
      </c>
      <c r="Y97" s="23">
        <f t="shared" si="14"/>
        <v>1</v>
      </c>
      <c r="Z97" s="12">
        <v>4</v>
      </c>
      <c r="AA97" s="28">
        <f t="shared" si="15"/>
        <v>2</v>
      </c>
      <c r="AB97" s="1">
        <v>1</v>
      </c>
      <c r="AC97" s="24">
        <f t="shared" si="16"/>
        <v>7</v>
      </c>
      <c r="AD97" s="118">
        <v>15</v>
      </c>
      <c r="AE97" s="5" t="s">
        <v>105</v>
      </c>
      <c r="AF97" s="138">
        <v>940.21</v>
      </c>
      <c r="AG97" s="137">
        <v>1370.509</v>
      </c>
      <c r="AH97" s="32">
        <v>1251</v>
      </c>
      <c r="AI97" s="138">
        <v>1.1279999999999999</v>
      </c>
      <c r="AJ97" s="138">
        <v>0.1</v>
      </c>
      <c r="AK97" s="137">
        <v>9</v>
      </c>
      <c r="AL97" s="137">
        <v>1.41</v>
      </c>
      <c r="AM97" s="137">
        <v>40.06</v>
      </c>
      <c r="AN97" s="137">
        <v>4.8</v>
      </c>
      <c r="AO97" s="137">
        <v>18.739999999999998</v>
      </c>
      <c r="AP97" s="137">
        <v>2.36</v>
      </c>
      <c r="AQ97" s="137">
        <v>32.75</v>
      </c>
      <c r="AR97" s="137">
        <v>3.03</v>
      </c>
      <c r="AS97" s="137">
        <v>-48.429000000000002</v>
      </c>
      <c r="AT97" s="137">
        <v>6.5010000000000003</v>
      </c>
      <c r="AU97" s="137">
        <v>7.0960000000000001</v>
      </c>
      <c r="AV97" s="137">
        <v>1.405</v>
      </c>
      <c r="AW97" s="137">
        <v>53.183999999999997</v>
      </c>
      <c r="AX97" s="137">
        <v>5.5339999999999998</v>
      </c>
      <c r="AY97" s="138">
        <v>0.79400000000000004</v>
      </c>
      <c r="AZ97" s="138">
        <v>0.125</v>
      </c>
      <c r="BA97" s="138">
        <v>0.84099999999999997</v>
      </c>
      <c r="BB97" s="138">
        <v>0.112</v>
      </c>
      <c r="BC97" s="138">
        <v>0.89400000000000002</v>
      </c>
      <c r="BD97" s="138">
        <v>0.122</v>
      </c>
      <c r="BE97" s="138">
        <v>0.85699999999999998</v>
      </c>
      <c r="BF97" s="138">
        <v>0.115</v>
      </c>
      <c r="BG97" s="138">
        <v>0.159</v>
      </c>
      <c r="BH97" s="138">
        <v>5.1999999999999998E-2</v>
      </c>
    </row>
    <row r="98" spans="1:60" x14ac:dyDescent="0.2">
      <c r="A98" s="22">
        <v>95</v>
      </c>
      <c r="B98" s="21" t="s">
        <v>197</v>
      </c>
      <c r="C98" s="44"/>
      <c r="D98" s="140">
        <v>44533</v>
      </c>
      <c r="E98" s="1" t="s">
        <v>84</v>
      </c>
      <c r="F98" s="109" t="s">
        <v>62</v>
      </c>
      <c r="G98" s="111" t="s">
        <v>7</v>
      </c>
      <c r="H98" s="1" t="s">
        <v>81</v>
      </c>
      <c r="I98" s="75" t="s">
        <v>83</v>
      </c>
      <c r="J98" s="1" t="s">
        <v>284</v>
      </c>
      <c r="K98" s="1" t="s">
        <v>3</v>
      </c>
      <c r="L98" s="21" t="s">
        <v>84</v>
      </c>
      <c r="M98" s="125">
        <v>46.4</v>
      </c>
      <c r="N98" s="118">
        <v>1.5</v>
      </c>
      <c r="O98" s="25">
        <f t="shared" si="17"/>
        <v>20.62222222222222</v>
      </c>
      <c r="P98" s="1">
        <v>6</v>
      </c>
      <c r="Q98" s="132">
        <v>8.85</v>
      </c>
      <c r="R98" s="27">
        <f t="shared" si="18"/>
        <v>0.4519774011299435</v>
      </c>
      <c r="S98" s="1" t="s">
        <v>84</v>
      </c>
      <c r="T98" s="18" t="s">
        <v>105</v>
      </c>
      <c r="U98" s="23" t="str">
        <f t="shared" si="13"/>
        <v>NO</v>
      </c>
      <c r="V98" s="125">
        <v>6.7</v>
      </c>
      <c r="W98" s="23" t="str">
        <f t="shared" si="19"/>
        <v>YES</v>
      </c>
      <c r="X98" s="67" t="s">
        <v>0</v>
      </c>
      <c r="Y98" s="23">
        <f t="shared" si="14"/>
        <v>2</v>
      </c>
      <c r="Z98" s="12">
        <v>1</v>
      </c>
      <c r="AA98" s="28">
        <f t="shared" si="15"/>
        <v>1</v>
      </c>
      <c r="AB98" s="1">
        <v>1</v>
      </c>
      <c r="AC98" s="24">
        <f t="shared" si="16"/>
        <v>3</v>
      </c>
      <c r="AD98" s="118">
        <v>26.69</v>
      </c>
      <c r="AE98" s="5" t="s">
        <v>105</v>
      </c>
      <c r="AF98" s="138">
        <v>647.56700000000001</v>
      </c>
      <c r="AG98" s="137">
        <v>1384.566</v>
      </c>
      <c r="AH98" s="32">
        <v>1166</v>
      </c>
      <c r="AI98" s="138">
        <v>1.206</v>
      </c>
      <c r="AJ98" s="138">
        <v>8.7999999999999995E-2</v>
      </c>
      <c r="AK98" s="137">
        <v>9.0299999999999994</v>
      </c>
      <c r="AL98" s="137">
        <v>1.91</v>
      </c>
      <c r="AM98" s="137">
        <v>49.24</v>
      </c>
      <c r="AN98" s="137">
        <v>4.53</v>
      </c>
      <c r="AO98" s="137">
        <v>15.72</v>
      </c>
      <c r="AP98" s="137">
        <v>1.53</v>
      </c>
      <c r="AQ98" s="137">
        <v>26.08</v>
      </c>
      <c r="AR98" s="137">
        <v>2.58</v>
      </c>
      <c r="AS98" s="137">
        <v>-30.600999999999999</v>
      </c>
      <c r="AT98" s="137">
        <v>4.694</v>
      </c>
      <c r="AU98" s="137">
        <v>8.8759999999999994</v>
      </c>
      <c r="AV98" s="137">
        <v>1.8580000000000001</v>
      </c>
      <c r="AW98" s="137">
        <v>49.753999999999998</v>
      </c>
      <c r="AX98" s="137">
        <v>4.1909999999999998</v>
      </c>
      <c r="AY98" s="138">
        <v>0.50800000000000001</v>
      </c>
      <c r="AZ98" s="138">
        <v>8.5000000000000006E-2</v>
      </c>
      <c r="BA98" s="138">
        <v>0.58299999999999996</v>
      </c>
      <c r="BB98" s="138">
        <v>9.1999999999999998E-2</v>
      </c>
      <c r="BC98" s="138">
        <v>0.60799999999999998</v>
      </c>
      <c r="BD98" s="138">
        <v>9.6000000000000002E-2</v>
      </c>
      <c r="BE98" s="138">
        <v>0.59</v>
      </c>
      <c r="BF98" s="138">
        <v>9.2999999999999999E-2</v>
      </c>
      <c r="BG98" s="138">
        <v>4.1000000000000002E-2</v>
      </c>
      <c r="BH98" s="138">
        <v>0.01</v>
      </c>
    </row>
    <row r="99" spans="1:60" x14ac:dyDescent="0.2">
      <c r="A99" s="22">
        <v>96</v>
      </c>
      <c r="B99" s="21" t="s">
        <v>198</v>
      </c>
      <c r="C99" s="44"/>
      <c r="D99" s="140">
        <v>44468</v>
      </c>
      <c r="E99" s="1" t="s">
        <v>84</v>
      </c>
      <c r="F99" s="109" t="s">
        <v>62</v>
      </c>
      <c r="G99" s="111" t="s">
        <v>9</v>
      </c>
      <c r="H99" s="1" t="s">
        <v>81</v>
      </c>
      <c r="I99" s="75" t="s">
        <v>82</v>
      </c>
      <c r="J99" s="1" t="s">
        <v>282</v>
      </c>
      <c r="K99" s="1" t="s">
        <v>3</v>
      </c>
      <c r="L99" s="21" t="s">
        <v>84</v>
      </c>
      <c r="M99" s="125">
        <v>49.5</v>
      </c>
      <c r="N99" s="118">
        <v>1.5</v>
      </c>
      <c r="O99" s="25">
        <f t="shared" si="17"/>
        <v>22</v>
      </c>
      <c r="P99" s="1">
        <v>1</v>
      </c>
      <c r="Q99" s="132">
        <v>6.97</v>
      </c>
      <c r="R99" s="27">
        <f t="shared" si="18"/>
        <v>0.57388809182209466</v>
      </c>
      <c r="S99" s="1" t="s">
        <v>0</v>
      </c>
      <c r="T99" s="67" t="s">
        <v>0</v>
      </c>
      <c r="U99" s="23" t="str">
        <f t="shared" si="13"/>
        <v>NO</v>
      </c>
      <c r="V99" s="125">
        <v>12.3</v>
      </c>
      <c r="W99" s="23" t="str">
        <f t="shared" si="19"/>
        <v>NO</v>
      </c>
      <c r="X99" s="67" t="s">
        <v>0</v>
      </c>
      <c r="Y99" s="23">
        <f t="shared" si="14"/>
        <v>0</v>
      </c>
      <c r="Z99" s="12">
        <v>2</v>
      </c>
      <c r="AA99" s="28">
        <f t="shared" si="15"/>
        <v>2</v>
      </c>
      <c r="AB99" s="1">
        <v>3</v>
      </c>
      <c r="AC99" s="24">
        <f t="shared" si="16"/>
        <v>7</v>
      </c>
      <c r="AD99" s="118">
        <v>12.79</v>
      </c>
      <c r="AE99" s="6">
        <v>10</v>
      </c>
      <c r="AF99" s="138">
        <v>958.97900000000004</v>
      </c>
      <c r="AG99" s="137">
        <v>1717.905</v>
      </c>
      <c r="AH99" s="32">
        <v>1292</v>
      </c>
      <c r="AI99" s="138">
        <v>1.371</v>
      </c>
      <c r="AJ99" s="138">
        <v>0.183</v>
      </c>
      <c r="AK99" s="137">
        <v>9.48</v>
      </c>
      <c r="AL99" s="137">
        <v>1.9</v>
      </c>
      <c r="AM99" s="137">
        <v>44.45</v>
      </c>
      <c r="AN99" s="137">
        <v>5.94</v>
      </c>
      <c r="AO99" s="137">
        <v>20.62</v>
      </c>
      <c r="AP99" s="137">
        <v>3.1</v>
      </c>
      <c r="AQ99" s="137">
        <v>25</v>
      </c>
      <c r="AR99" s="137">
        <v>3.71</v>
      </c>
      <c r="AS99" s="137">
        <v>-50.012</v>
      </c>
      <c r="AT99" s="137">
        <v>7.2939999999999996</v>
      </c>
      <c r="AU99" s="137">
        <v>13.138</v>
      </c>
      <c r="AV99" s="137">
        <v>2.95</v>
      </c>
      <c r="AW99" s="137">
        <v>44.003</v>
      </c>
      <c r="AX99" s="137">
        <v>6.0730000000000004</v>
      </c>
      <c r="AY99" s="138">
        <v>0.63600000000000001</v>
      </c>
      <c r="AZ99" s="138">
        <v>0.123</v>
      </c>
      <c r="BA99" s="138">
        <v>0.81599999999999995</v>
      </c>
      <c r="BB99" s="138">
        <v>0.14199999999999999</v>
      </c>
      <c r="BC99" s="138">
        <v>0.86699999999999999</v>
      </c>
      <c r="BD99" s="138">
        <v>0.15</v>
      </c>
      <c r="BE99" s="138">
        <v>0.84299999999999997</v>
      </c>
      <c r="BF99" s="138">
        <v>0.14699999999999999</v>
      </c>
      <c r="BG99" s="138">
        <v>7.5999999999999998E-2</v>
      </c>
      <c r="BH99" s="138">
        <v>0.02</v>
      </c>
    </row>
    <row r="100" spans="1:60" x14ac:dyDescent="0.2">
      <c r="A100" s="22">
        <v>97</v>
      </c>
      <c r="B100" s="21" t="s">
        <v>199</v>
      </c>
      <c r="C100" s="44"/>
      <c r="D100" s="140">
        <v>44487</v>
      </c>
      <c r="E100" s="1" t="s">
        <v>0</v>
      </c>
      <c r="F100" s="109" t="s">
        <v>62</v>
      </c>
      <c r="G100" s="111" t="s">
        <v>9</v>
      </c>
      <c r="H100" s="1" t="s">
        <v>81</v>
      </c>
      <c r="I100" s="75" t="s">
        <v>82</v>
      </c>
      <c r="J100" s="1" t="s">
        <v>280</v>
      </c>
      <c r="K100" s="1" t="s">
        <v>5</v>
      </c>
      <c r="L100" s="21" t="s">
        <v>84</v>
      </c>
      <c r="M100" s="125">
        <v>65</v>
      </c>
      <c r="N100" s="118">
        <v>1.6</v>
      </c>
      <c r="O100" s="25">
        <f t="shared" si="17"/>
        <v>25.390624999999996</v>
      </c>
      <c r="P100" s="1">
        <v>1</v>
      </c>
      <c r="Q100" s="132">
        <v>3.93</v>
      </c>
      <c r="R100" s="27">
        <f t="shared" si="18"/>
        <v>1.0178117048346056</v>
      </c>
      <c r="S100" s="1" t="s">
        <v>0</v>
      </c>
      <c r="T100" s="67" t="s">
        <v>0</v>
      </c>
      <c r="U100" s="23" t="str">
        <f t="shared" ref="U100:U131" si="20">IF(AND(K100="M",N100&lt;=1.64),IF(R100&lt;0.5,"YES","NO"),"")  &amp;  IF(AND(K100="M",N100&gt;1.64),IF(R100&lt;0.43,"YES","NO"),"") &amp; IF(AND(K100="F",N100&lt;=1.52),IF(R100&lt;0.41,"YES","NO"),"") &amp; IF(AND(K100="F",N100&gt;1.52),IF(R100&lt;0.33,"YES","NO"),"")</f>
        <v>NO</v>
      </c>
      <c r="V100" s="125">
        <v>26.5</v>
      </c>
      <c r="W100" s="23" t="str">
        <f t="shared" si="19"/>
        <v>NO</v>
      </c>
      <c r="X100" s="67" t="s">
        <v>0</v>
      </c>
      <c r="Y100" s="23">
        <f t="shared" ref="Y100:Y131" si="21">SUM(S100="YES",T100="YES",U100="YES",W100="YES",X100="YES")</f>
        <v>0</v>
      </c>
      <c r="Z100" s="12">
        <v>4</v>
      </c>
      <c r="AA100" s="28">
        <f t="shared" ref="AA100:AA131" si="22">(Q100&lt;&gt;"Incapable")*1+(Q100&lt;8.7)*1+(Q100&lt;6.2)*1+(Q100&lt;4.82)*1</f>
        <v>4</v>
      </c>
      <c r="AB100" s="1">
        <v>4</v>
      </c>
      <c r="AC100" s="24">
        <f t="shared" ref="AC100:AC131" si="23">SUM(Z100:AB100)</f>
        <v>12</v>
      </c>
      <c r="AD100" s="118">
        <v>7.45</v>
      </c>
      <c r="AE100" s="6">
        <v>7</v>
      </c>
      <c r="AF100" s="138">
        <v>1164.229</v>
      </c>
      <c r="AG100" s="137">
        <v>2184.4029999999998</v>
      </c>
      <c r="AH100" s="32">
        <v>1642</v>
      </c>
      <c r="AI100" s="138">
        <v>1.345</v>
      </c>
      <c r="AJ100" s="138">
        <v>8.6999999999999994E-2</v>
      </c>
      <c r="AK100" s="137">
        <v>9.8000000000000007</v>
      </c>
      <c r="AL100" s="137">
        <v>1.98</v>
      </c>
      <c r="AM100" s="137">
        <v>46.81</v>
      </c>
      <c r="AN100" s="137">
        <v>4.0199999999999996</v>
      </c>
      <c r="AO100" s="137">
        <v>13.91</v>
      </c>
      <c r="AP100" s="137">
        <v>1.29</v>
      </c>
      <c r="AQ100" s="137">
        <v>29.45</v>
      </c>
      <c r="AR100" s="137">
        <v>2.1800000000000002</v>
      </c>
      <c r="AS100" s="137">
        <v>-44.594999999999999</v>
      </c>
      <c r="AT100" s="137">
        <v>5.4690000000000003</v>
      </c>
      <c r="AU100" s="137">
        <v>15.592000000000001</v>
      </c>
      <c r="AV100" s="137">
        <v>3.198</v>
      </c>
      <c r="AW100" s="137">
        <v>44.634</v>
      </c>
      <c r="AX100" s="137">
        <v>3.306</v>
      </c>
      <c r="AY100" s="138">
        <v>0.63600000000000001</v>
      </c>
      <c r="AZ100" s="138">
        <v>7.3999999999999996E-2</v>
      </c>
      <c r="BA100" s="138">
        <v>0.73199999999999998</v>
      </c>
      <c r="BB100" s="138">
        <v>0.13100000000000001</v>
      </c>
      <c r="BC100" s="138">
        <v>0.85399999999999998</v>
      </c>
      <c r="BD100" s="138">
        <v>9.5000000000000001E-2</v>
      </c>
      <c r="BE100" s="138">
        <v>0.749</v>
      </c>
      <c r="BF100" s="138">
        <v>0.13</v>
      </c>
      <c r="BG100" s="138">
        <v>0.34899999999999998</v>
      </c>
      <c r="BH100" s="138">
        <v>7.0999999999999994E-2</v>
      </c>
    </row>
    <row r="101" spans="1:60" x14ac:dyDescent="0.2">
      <c r="A101" s="22">
        <v>98</v>
      </c>
      <c r="B101" s="21" t="s">
        <v>200</v>
      </c>
      <c r="C101" s="44"/>
      <c r="D101" s="140">
        <v>44488</v>
      </c>
      <c r="E101" s="1" t="s">
        <v>12</v>
      </c>
      <c r="F101" s="109" t="s">
        <v>62</v>
      </c>
      <c r="G101" s="111" t="s">
        <v>9</v>
      </c>
      <c r="H101" s="1" t="s">
        <v>81</v>
      </c>
      <c r="I101" s="75" t="s">
        <v>82</v>
      </c>
      <c r="J101" s="1" t="s">
        <v>280</v>
      </c>
      <c r="K101" s="1" t="s">
        <v>5</v>
      </c>
      <c r="L101" s="21" t="s">
        <v>84</v>
      </c>
      <c r="M101" s="125">
        <v>71.3</v>
      </c>
      <c r="N101" s="118">
        <v>1.82</v>
      </c>
      <c r="O101" s="25">
        <f t="shared" ref="O101:O132" si="24">IFERROR(M101/(N101^2),"--")</f>
        <v>21.525178118584709</v>
      </c>
      <c r="P101" s="1">
        <v>1</v>
      </c>
      <c r="Q101" s="132">
        <v>3.22</v>
      </c>
      <c r="R101" s="27">
        <f t="shared" ref="R101:R132" si="25">IFERROR(4/Q101,"--")</f>
        <v>1.2422360248447204</v>
      </c>
      <c r="S101" s="1" t="s">
        <v>0</v>
      </c>
      <c r="T101" s="67" t="s">
        <v>0</v>
      </c>
      <c r="U101" s="23" t="str">
        <f t="shared" si="20"/>
        <v>NO</v>
      </c>
      <c r="V101" s="125">
        <v>20.8</v>
      </c>
      <c r="W101" s="23" t="str">
        <f t="shared" si="19"/>
        <v>NO</v>
      </c>
      <c r="X101" s="67" t="s">
        <v>0</v>
      </c>
      <c r="Y101" s="23">
        <f t="shared" si="21"/>
        <v>0</v>
      </c>
      <c r="Z101" s="12">
        <v>4</v>
      </c>
      <c r="AA101" s="28">
        <f t="shared" si="22"/>
        <v>4</v>
      </c>
      <c r="AB101" s="1">
        <v>4</v>
      </c>
      <c r="AC101" s="24">
        <f t="shared" si="23"/>
        <v>12</v>
      </c>
      <c r="AD101" s="118">
        <v>10.18</v>
      </c>
      <c r="AE101" s="6">
        <v>10</v>
      </c>
      <c r="AF101" s="138">
        <v>1302.5360000000001</v>
      </c>
      <c r="AG101" s="137">
        <v>2065.0300000000002</v>
      </c>
      <c r="AH101" s="32">
        <v>1431</v>
      </c>
      <c r="AI101" s="138">
        <v>1.46</v>
      </c>
      <c r="AJ101" s="138">
        <v>0.16700000000000001</v>
      </c>
      <c r="AK101" s="137">
        <v>13.75</v>
      </c>
      <c r="AL101" s="137">
        <v>2.89</v>
      </c>
      <c r="AM101" s="137">
        <v>38.47</v>
      </c>
      <c r="AN101" s="137">
        <v>8.26</v>
      </c>
      <c r="AO101" s="137">
        <v>18.23</v>
      </c>
      <c r="AP101" s="137">
        <v>3.09</v>
      </c>
      <c r="AQ101" s="137">
        <v>27.58</v>
      </c>
      <c r="AR101" s="137">
        <v>3.17</v>
      </c>
      <c r="AS101" s="137">
        <v>-52.116999999999997</v>
      </c>
      <c r="AT101" s="137">
        <v>6.6619999999999999</v>
      </c>
      <c r="AU101" s="137">
        <v>18.175000000000001</v>
      </c>
      <c r="AV101" s="137">
        <v>4.5789999999999997</v>
      </c>
      <c r="AW101" s="137">
        <v>41.466000000000001</v>
      </c>
      <c r="AX101" s="137">
        <v>4.5860000000000003</v>
      </c>
      <c r="AY101" s="138">
        <v>0.71899999999999997</v>
      </c>
      <c r="AZ101" s="138">
        <v>0.152</v>
      </c>
      <c r="BA101" s="138">
        <v>0.95899999999999996</v>
      </c>
      <c r="BB101" s="138">
        <v>0.158</v>
      </c>
      <c r="BC101" s="138">
        <v>1.0209999999999999</v>
      </c>
      <c r="BD101" s="138">
        <v>0.16300000000000001</v>
      </c>
      <c r="BE101" s="138">
        <v>0.98</v>
      </c>
      <c r="BF101" s="138">
        <v>0.161</v>
      </c>
      <c r="BG101" s="138">
        <v>0.121</v>
      </c>
      <c r="BH101" s="138">
        <v>3.4000000000000002E-2</v>
      </c>
    </row>
    <row r="102" spans="1:60" x14ac:dyDescent="0.2">
      <c r="A102" s="22">
        <v>99</v>
      </c>
      <c r="B102" s="21" t="s">
        <v>201</v>
      </c>
      <c r="C102" s="44"/>
      <c r="D102" s="140">
        <v>44524</v>
      </c>
      <c r="E102" s="1" t="s">
        <v>0</v>
      </c>
      <c r="F102" s="109" t="s">
        <v>62</v>
      </c>
      <c r="G102" s="111" t="s">
        <v>9</v>
      </c>
      <c r="H102" s="1" t="s">
        <v>81</v>
      </c>
      <c r="I102" s="75" t="s">
        <v>83</v>
      </c>
      <c r="J102" s="1" t="s">
        <v>279</v>
      </c>
      <c r="K102" s="1" t="s">
        <v>3</v>
      </c>
      <c r="L102" s="21" t="s">
        <v>84</v>
      </c>
      <c r="M102" s="125">
        <v>47.3</v>
      </c>
      <c r="N102" s="118">
        <v>1.49</v>
      </c>
      <c r="O102" s="25">
        <f t="shared" si="24"/>
        <v>21.305346606008737</v>
      </c>
      <c r="P102" s="1">
        <v>5</v>
      </c>
      <c r="Q102" s="132">
        <v>4.6900000000000004</v>
      </c>
      <c r="R102" s="27">
        <f t="shared" si="25"/>
        <v>0.85287846481876328</v>
      </c>
      <c r="S102" s="1" t="s">
        <v>0</v>
      </c>
      <c r="T102" s="18" t="s">
        <v>105</v>
      </c>
      <c r="U102" s="23" t="str">
        <f t="shared" si="20"/>
        <v>NO</v>
      </c>
      <c r="V102" s="125">
        <v>8.3000000000000007</v>
      </c>
      <c r="W102" s="23" t="str">
        <f t="shared" si="19"/>
        <v>YES</v>
      </c>
      <c r="X102" s="67" t="s">
        <v>0</v>
      </c>
      <c r="Y102" s="23">
        <f t="shared" si="21"/>
        <v>1</v>
      </c>
      <c r="Z102" s="12">
        <v>3</v>
      </c>
      <c r="AA102" s="28">
        <f t="shared" si="22"/>
        <v>4</v>
      </c>
      <c r="AB102" s="1">
        <v>4</v>
      </c>
      <c r="AC102" s="24">
        <f t="shared" si="23"/>
        <v>11</v>
      </c>
      <c r="AD102" s="118">
        <v>10.71</v>
      </c>
      <c r="AE102" s="5" t="s">
        <v>105</v>
      </c>
      <c r="AF102" s="138">
        <v>951.55700000000002</v>
      </c>
      <c r="AG102" s="137">
        <v>1374.07</v>
      </c>
      <c r="AH102" s="32">
        <v>1114</v>
      </c>
      <c r="AI102" s="138">
        <v>1.254</v>
      </c>
      <c r="AJ102" s="138">
        <v>0.14099999999999999</v>
      </c>
      <c r="AK102" s="137">
        <v>10.85</v>
      </c>
      <c r="AL102" s="137">
        <v>2.17</v>
      </c>
      <c r="AM102" s="137">
        <v>36.67</v>
      </c>
      <c r="AN102" s="137">
        <v>5.0999999999999996</v>
      </c>
      <c r="AO102" s="137">
        <v>21.09</v>
      </c>
      <c r="AP102" s="137">
        <v>2.4500000000000002</v>
      </c>
      <c r="AQ102" s="137">
        <v>31.16</v>
      </c>
      <c r="AR102" s="137">
        <v>3.18</v>
      </c>
      <c r="AS102" s="137">
        <v>-51.701000000000001</v>
      </c>
      <c r="AT102" s="137">
        <v>6.89</v>
      </c>
      <c r="AU102" s="137">
        <v>16.007999999999999</v>
      </c>
      <c r="AV102" s="137">
        <v>3.6819999999999999</v>
      </c>
      <c r="AW102" s="137">
        <v>48.194000000000003</v>
      </c>
      <c r="AX102" s="137">
        <v>5.319</v>
      </c>
      <c r="AY102" s="138">
        <v>0.77100000000000002</v>
      </c>
      <c r="AZ102" s="138">
        <v>0.13700000000000001</v>
      </c>
      <c r="BA102" s="138">
        <v>0.91</v>
      </c>
      <c r="BB102" s="138">
        <v>0.13600000000000001</v>
      </c>
      <c r="BC102" s="138">
        <v>0.94899999999999995</v>
      </c>
      <c r="BD102" s="138">
        <v>0.13900000000000001</v>
      </c>
      <c r="BE102" s="138">
        <v>0.92300000000000004</v>
      </c>
      <c r="BF102" s="138">
        <v>0.13700000000000001</v>
      </c>
      <c r="BG102" s="138">
        <v>7.0000000000000007E-2</v>
      </c>
      <c r="BH102" s="138">
        <v>0.02</v>
      </c>
    </row>
    <row r="103" spans="1:60" x14ac:dyDescent="0.2">
      <c r="A103" s="22">
        <v>100</v>
      </c>
      <c r="B103" s="21" t="s">
        <v>202</v>
      </c>
      <c r="C103" s="44"/>
      <c r="D103" s="140">
        <v>44468</v>
      </c>
      <c r="E103" s="1" t="s">
        <v>0</v>
      </c>
      <c r="F103" s="109" t="s">
        <v>62</v>
      </c>
      <c r="G103" s="111" t="s">
        <v>10</v>
      </c>
      <c r="H103" s="1" t="s">
        <v>81</v>
      </c>
      <c r="I103" s="75" t="s">
        <v>82</v>
      </c>
      <c r="J103" s="1" t="s">
        <v>284</v>
      </c>
      <c r="K103" s="1" t="s">
        <v>3</v>
      </c>
      <c r="L103" s="21" t="s">
        <v>84</v>
      </c>
      <c r="M103" s="125">
        <v>67.900000000000006</v>
      </c>
      <c r="N103" s="118">
        <v>1.56</v>
      </c>
      <c r="O103" s="25">
        <f t="shared" si="24"/>
        <v>27.901051939513479</v>
      </c>
      <c r="P103" s="1">
        <v>1</v>
      </c>
      <c r="Q103" s="132">
        <v>4.5999999999999996</v>
      </c>
      <c r="R103" s="27">
        <f t="shared" si="25"/>
        <v>0.86956521739130443</v>
      </c>
      <c r="S103" s="1" t="s">
        <v>0</v>
      </c>
      <c r="T103" s="67" t="s">
        <v>0</v>
      </c>
      <c r="U103" s="23" t="str">
        <f t="shared" si="20"/>
        <v>NO</v>
      </c>
      <c r="V103" s="125">
        <v>11.7</v>
      </c>
      <c r="W103" s="23" t="str">
        <f t="shared" si="19"/>
        <v>YES</v>
      </c>
      <c r="X103" s="67" t="s">
        <v>0</v>
      </c>
      <c r="Y103" s="23">
        <f t="shared" si="21"/>
        <v>1</v>
      </c>
      <c r="Z103" s="12">
        <v>4</v>
      </c>
      <c r="AA103" s="28">
        <f t="shared" si="22"/>
        <v>4</v>
      </c>
      <c r="AB103" s="1">
        <v>4</v>
      </c>
      <c r="AC103" s="24">
        <f t="shared" si="23"/>
        <v>12</v>
      </c>
      <c r="AD103" s="118">
        <v>11.7</v>
      </c>
      <c r="AE103" s="6">
        <v>7</v>
      </c>
      <c r="AF103" s="138">
        <v>1389.7080000000001</v>
      </c>
      <c r="AG103" s="137">
        <v>1889.546</v>
      </c>
      <c r="AH103" s="32">
        <v>1485</v>
      </c>
      <c r="AI103" s="138">
        <v>1.276</v>
      </c>
      <c r="AJ103" s="138">
        <v>9.9000000000000005E-2</v>
      </c>
      <c r="AK103" s="137">
        <v>10.25</v>
      </c>
      <c r="AL103" s="137">
        <v>1.81</v>
      </c>
      <c r="AM103" s="137">
        <v>41.74</v>
      </c>
      <c r="AN103" s="137">
        <v>3.82</v>
      </c>
      <c r="AO103" s="137">
        <v>18.95</v>
      </c>
      <c r="AP103" s="137">
        <v>2.52</v>
      </c>
      <c r="AQ103" s="137">
        <v>28.94</v>
      </c>
      <c r="AR103" s="137">
        <v>1.95</v>
      </c>
      <c r="AS103" s="137">
        <v>-52.561999999999998</v>
      </c>
      <c r="AT103" s="137">
        <v>7.0490000000000004</v>
      </c>
      <c r="AU103" s="137">
        <v>12.35</v>
      </c>
      <c r="AV103" s="137">
        <v>2.508</v>
      </c>
      <c r="AW103" s="137">
        <v>47.226999999999997</v>
      </c>
      <c r="AX103" s="137">
        <v>3.706</v>
      </c>
      <c r="AY103" s="138">
        <v>0.79</v>
      </c>
      <c r="AZ103" s="138">
        <v>0.10199999999999999</v>
      </c>
      <c r="BA103" s="138">
        <v>0.95099999999999996</v>
      </c>
      <c r="BB103" s="138">
        <v>0.108</v>
      </c>
      <c r="BC103" s="138">
        <v>1.0029999999999999</v>
      </c>
      <c r="BD103" s="138">
        <v>0.113</v>
      </c>
      <c r="BE103" s="138">
        <v>0.97</v>
      </c>
      <c r="BF103" s="138">
        <v>0.109</v>
      </c>
      <c r="BG103" s="138">
        <v>0.125</v>
      </c>
      <c r="BH103" s="138">
        <v>3.7999999999999999E-2</v>
      </c>
    </row>
    <row r="104" spans="1:60" x14ac:dyDescent="0.2">
      <c r="A104" s="22">
        <v>101</v>
      </c>
      <c r="B104" s="21" t="s">
        <v>203</v>
      </c>
      <c r="C104" s="44"/>
      <c r="D104" s="140">
        <v>44490</v>
      </c>
      <c r="E104" s="1" t="s">
        <v>84</v>
      </c>
      <c r="F104" s="109" t="s">
        <v>62</v>
      </c>
      <c r="G104" s="111" t="s">
        <v>10</v>
      </c>
      <c r="H104" s="1" t="s">
        <v>81</v>
      </c>
      <c r="I104" s="75" t="s">
        <v>83</v>
      </c>
      <c r="J104" s="1" t="s">
        <v>284</v>
      </c>
      <c r="K104" s="1" t="s">
        <v>3</v>
      </c>
      <c r="L104" s="21" t="s">
        <v>84</v>
      </c>
      <c r="M104" s="125">
        <v>33.1</v>
      </c>
      <c r="N104" s="118">
        <v>1.4</v>
      </c>
      <c r="O104" s="25">
        <f t="shared" si="24"/>
        <v>16.887755102040821</v>
      </c>
      <c r="P104" s="1">
        <v>5</v>
      </c>
      <c r="Q104" s="132">
        <v>7.09</v>
      </c>
      <c r="R104" s="27">
        <f t="shared" si="25"/>
        <v>0.56417489421720735</v>
      </c>
      <c r="S104" s="1" t="s">
        <v>0</v>
      </c>
      <c r="T104" s="66" t="s">
        <v>105</v>
      </c>
      <c r="U104" s="23" t="str">
        <f t="shared" si="20"/>
        <v>NO</v>
      </c>
      <c r="V104" s="125">
        <v>8.6999999999999993</v>
      </c>
      <c r="W104" s="23" t="str">
        <f t="shared" si="19"/>
        <v>YES</v>
      </c>
      <c r="X104" s="67" t="s">
        <v>0</v>
      </c>
      <c r="Y104" s="23">
        <f t="shared" si="21"/>
        <v>1</v>
      </c>
      <c r="Z104" s="12">
        <v>2</v>
      </c>
      <c r="AA104" s="28">
        <f t="shared" si="22"/>
        <v>2</v>
      </c>
      <c r="AB104" s="1">
        <v>3</v>
      </c>
      <c r="AC104" s="24">
        <f t="shared" si="23"/>
        <v>7</v>
      </c>
      <c r="AD104" s="118">
        <v>22</v>
      </c>
      <c r="AE104" s="5" t="s">
        <v>105</v>
      </c>
      <c r="AF104" s="138">
        <v>925.66899999999998</v>
      </c>
      <c r="AG104" s="137">
        <v>1418.8710000000001</v>
      </c>
      <c r="AH104" s="32">
        <v>1415</v>
      </c>
      <c r="AI104" s="138">
        <v>1.016</v>
      </c>
      <c r="AJ104" s="138">
        <v>8.6999999999999994E-2</v>
      </c>
      <c r="AK104" s="137">
        <v>10.64</v>
      </c>
      <c r="AL104" s="137">
        <v>1.95</v>
      </c>
      <c r="AM104" s="137">
        <v>38.090000000000003</v>
      </c>
      <c r="AN104" s="137">
        <v>4.24</v>
      </c>
      <c r="AO104" s="137">
        <v>19.52</v>
      </c>
      <c r="AP104" s="137">
        <v>2.35</v>
      </c>
      <c r="AQ104" s="137">
        <v>31.82</v>
      </c>
      <c r="AR104" s="137">
        <v>2.68</v>
      </c>
      <c r="AS104" s="137">
        <v>-38.155999999999999</v>
      </c>
      <c r="AT104" s="137">
        <v>4.3440000000000003</v>
      </c>
      <c r="AU104" s="137">
        <v>7.6379999999999999</v>
      </c>
      <c r="AV104" s="137">
        <v>1.823</v>
      </c>
      <c r="AW104" s="137">
        <v>59.249000000000002</v>
      </c>
      <c r="AX104" s="137">
        <v>5.3</v>
      </c>
      <c r="AY104" s="138">
        <v>0.70899999999999996</v>
      </c>
      <c r="AZ104" s="138">
        <v>0.104</v>
      </c>
      <c r="BA104" s="138">
        <v>0.67</v>
      </c>
      <c r="BB104" s="138">
        <v>8.3000000000000004E-2</v>
      </c>
      <c r="BC104" s="138">
        <v>0.71</v>
      </c>
      <c r="BD104" s="138">
        <v>8.7999999999999995E-2</v>
      </c>
      <c r="BE104" s="138">
        <v>0.68300000000000005</v>
      </c>
      <c r="BF104" s="138">
        <v>8.4000000000000005E-2</v>
      </c>
      <c r="BG104" s="138">
        <v>0.12</v>
      </c>
      <c r="BH104" s="138">
        <v>3.7999999999999999E-2</v>
      </c>
    </row>
    <row r="105" spans="1:60" x14ac:dyDescent="0.2">
      <c r="A105" s="22">
        <v>102</v>
      </c>
      <c r="B105" s="21" t="s">
        <v>204</v>
      </c>
      <c r="C105" s="44"/>
      <c r="D105" s="140">
        <v>44491</v>
      </c>
      <c r="E105" s="1" t="s">
        <v>0</v>
      </c>
      <c r="F105" s="109" t="s">
        <v>62</v>
      </c>
      <c r="G105" s="111" t="s">
        <v>10</v>
      </c>
      <c r="H105" s="1" t="s">
        <v>81</v>
      </c>
      <c r="I105" s="75" t="s">
        <v>83</v>
      </c>
      <c r="J105" s="1" t="s">
        <v>279</v>
      </c>
      <c r="K105" s="1" t="s">
        <v>5</v>
      </c>
      <c r="L105" s="21" t="s">
        <v>84</v>
      </c>
      <c r="M105" s="125">
        <v>68.599999999999994</v>
      </c>
      <c r="N105" s="118">
        <v>1.72</v>
      </c>
      <c r="O105" s="25">
        <f t="shared" si="24"/>
        <v>23.188209843158464</v>
      </c>
      <c r="P105" s="1">
        <v>4</v>
      </c>
      <c r="Q105" s="132">
        <v>8.7899999999999991</v>
      </c>
      <c r="R105" s="27">
        <f t="shared" si="25"/>
        <v>0.45506257110352677</v>
      </c>
      <c r="S105" s="1" t="s">
        <v>0</v>
      </c>
      <c r="T105" s="67" t="s">
        <v>0</v>
      </c>
      <c r="U105" s="23" t="str">
        <f t="shared" si="20"/>
        <v>NO</v>
      </c>
      <c r="V105" s="125">
        <v>40</v>
      </c>
      <c r="W105" s="23" t="str">
        <f t="shared" si="19"/>
        <v>NO</v>
      </c>
      <c r="X105" s="67" t="s">
        <v>0</v>
      </c>
      <c r="Y105" s="23">
        <f t="shared" si="21"/>
        <v>0</v>
      </c>
      <c r="Z105" s="12">
        <v>3</v>
      </c>
      <c r="AA105" s="28">
        <f t="shared" si="22"/>
        <v>1</v>
      </c>
      <c r="AB105" s="1">
        <v>3</v>
      </c>
      <c r="AC105" s="24">
        <f t="shared" si="23"/>
        <v>7</v>
      </c>
      <c r="AD105" s="118">
        <v>16.61</v>
      </c>
      <c r="AE105" s="6">
        <v>7</v>
      </c>
      <c r="AF105" s="138">
        <v>735.56299999999999</v>
      </c>
      <c r="AG105" s="137">
        <v>1497.3320000000001</v>
      </c>
      <c r="AH105" s="32">
        <v>1520</v>
      </c>
      <c r="AI105" s="138">
        <v>0.998</v>
      </c>
      <c r="AJ105" s="138">
        <v>6.9000000000000006E-2</v>
      </c>
      <c r="AK105" s="137">
        <v>8.59</v>
      </c>
      <c r="AL105" s="137">
        <v>1.47</v>
      </c>
      <c r="AM105" s="137">
        <v>47.77</v>
      </c>
      <c r="AN105" s="137">
        <v>4.29</v>
      </c>
      <c r="AO105" s="137">
        <v>16.62</v>
      </c>
      <c r="AP105" s="137">
        <v>1.5</v>
      </c>
      <c r="AQ105" s="137">
        <v>27.01</v>
      </c>
      <c r="AR105" s="137">
        <v>2.4500000000000002</v>
      </c>
      <c r="AS105" s="137">
        <v>-26.341999999999999</v>
      </c>
      <c r="AT105" s="137">
        <v>3.9910000000000001</v>
      </c>
      <c r="AU105" s="137">
        <v>5.4349999999999996</v>
      </c>
      <c r="AV105" s="137">
        <v>1.31</v>
      </c>
      <c r="AW105" s="137">
        <v>60.286000000000001</v>
      </c>
      <c r="AX105" s="137">
        <v>4.4630000000000001</v>
      </c>
      <c r="AY105" s="138">
        <v>0.53100000000000003</v>
      </c>
      <c r="AZ105" s="138">
        <v>8.3000000000000004E-2</v>
      </c>
      <c r="BA105" s="138">
        <v>0.5</v>
      </c>
      <c r="BB105" s="138">
        <v>8.6999999999999994E-2</v>
      </c>
      <c r="BC105" s="138">
        <v>0.52600000000000002</v>
      </c>
      <c r="BD105" s="138">
        <v>0.09</v>
      </c>
      <c r="BE105" s="138">
        <v>0.50700000000000001</v>
      </c>
      <c r="BF105" s="138">
        <v>8.5999999999999993E-2</v>
      </c>
      <c r="BG105" s="138">
        <v>6.8000000000000005E-2</v>
      </c>
      <c r="BH105" s="138">
        <v>0.02</v>
      </c>
    </row>
    <row r="106" spans="1:60" x14ac:dyDescent="0.2">
      <c r="A106" s="22">
        <v>103</v>
      </c>
      <c r="B106" s="21" t="s">
        <v>205</v>
      </c>
      <c r="C106" s="44"/>
      <c r="D106" s="140">
        <v>44495</v>
      </c>
      <c r="E106" s="1" t="s">
        <v>0</v>
      </c>
      <c r="F106" s="109" t="s">
        <v>62</v>
      </c>
      <c r="G106" s="111" t="s">
        <v>10</v>
      </c>
      <c r="H106" s="1" t="s">
        <v>81</v>
      </c>
      <c r="I106" s="75" t="s">
        <v>83</v>
      </c>
      <c r="J106" s="1" t="s">
        <v>282</v>
      </c>
      <c r="K106" s="1" t="s">
        <v>3</v>
      </c>
      <c r="L106" s="21" t="s">
        <v>84</v>
      </c>
      <c r="M106" s="125">
        <v>53.8</v>
      </c>
      <c r="N106" s="118">
        <v>1.49</v>
      </c>
      <c r="O106" s="25">
        <f t="shared" si="24"/>
        <v>24.233142651231926</v>
      </c>
      <c r="P106" s="1">
        <v>1</v>
      </c>
      <c r="Q106" s="132">
        <v>9.24</v>
      </c>
      <c r="R106" s="27">
        <f t="shared" si="25"/>
        <v>0.4329004329004329</v>
      </c>
      <c r="S106" s="1" t="s">
        <v>0</v>
      </c>
      <c r="T106" s="67" t="s">
        <v>0</v>
      </c>
      <c r="U106" s="23" t="str">
        <f t="shared" si="20"/>
        <v>NO</v>
      </c>
      <c r="V106" s="125">
        <v>9.1999999999999993</v>
      </c>
      <c r="W106" s="23" t="str">
        <f t="shared" si="19"/>
        <v>YES</v>
      </c>
      <c r="X106" s="67" t="s">
        <v>0</v>
      </c>
      <c r="Y106" s="23">
        <f t="shared" si="21"/>
        <v>1</v>
      </c>
      <c r="Z106" s="12">
        <v>1</v>
      </c>
      <c r="AA106" s="28">
        <f t="shared" si="22"/>
        <v>1</v>
      </c>
      <c r="AB106" s="1">
        <v>3</v>
      </c>
      <c r="AC106" s="24">
        <f t="shared" si="23"/>
        <v>5</v>
      </c>
      <c r="AD106" s="118">
        <v>18.96</v>
      </c>
      <c r="AE106" s="6">
        <v>15</v>
      </c>
      <c r="AF106" s="138">
        <v>1045.1310000000001</v>
      </c>
      <c r="AG106" s="137">
        <v>1672.8050000000001</v>
      </c>
      <c r="AH106" s="32">
        <v>1143</v>
      </c>
      <c r="AI106" s="138">
        <v>1.4730000000000001</v>
      </c>
      <c r="AJ106" s="138">
        <v>0.14199999999999999</v>
      </c>
      <c r="AK106" s="137">
        <v>10.43</v>
      </c>
      <c r="AL106" s="137">
        <v>1.56</v>
      </c>
      <c r="AM106" s="137">
        <v>43.86</v>
      </c>
      <c r="AN106" s="137">
        <v>4.54</v>
      </c>
      <c r="AO106" s="137">
        <v>18.100000000000001</v>
      </c>
      <c r="AP106" s="137">
        <v>2.2000000000000002</v>
      </c>
      <c r="AQ106" s="137">
        <v>27.5</v>
      </c>
      <c r="AR106" s="137">
        <v>2.58</v>
      </c>
      <c r="AS106" s="137">
        <v>-47.345999999999997</v>
      </c>
      <c r="AT106" s="137">
        <v>4.99</v>
      </c>
      <c r="AU106" s="137">
        <v>15.016</v>
      </c>
      <c r="AV106" s="137">
        <v>3.1930000000000001</v>
      </c>
      <c r="AW106" s="137">
        <v>41.000999999999998</v>
      </c>
      <c r="AX106" s="137">
        <v>4.0090000000000003</v>
      </c>
      <c r="AY106" s="138">
        <v>0.67900000000000005</v>
      </c>
      <c r="AZ106" s="138">
        <v>8.2000000000000003E-2</v>
      </c>
      <c r="BA106" s="138">
        <v>0.94699999999999995</v>
      </c>
      <c r="BB106" s="138">
        <v>0.109</v>
      </c>
      <c r="BC106" s="138">
        <v>0.99</v>
      </c>
      <c r="BD106" s="138">
        <v>0.113</v>
      </c>
      <c r="BE106" s="138">
        <v>0.95899999999999996</v>
      </c>
      <c r="BF106" s="138">
        <v>0.109</v>
      </c>
      <c r="BG106" s="138">
        <v>0.12</v>
      </c>
      <c r="BH106" s="138">
        <v>3.7999999999999999E-2</v>
      </c>
    </row>
    <row r="107" spans="1:60" x14ac:dyDescent="0.2">
      <c r="A107" s="22">
        <v>104</v>
      </c>
      <c r="B107" s="21" t="s">
        <v>206</v>
      </c>
      <c r="C107" s="44"/>
      <c r="D107" s="140">
        <v>44529</v>
      </c>
      <c r="E107" s="1" t="s">
        <v>84</v>
      </c>
      <c r="F107" s="109" t="s">
        <v>62</v>
      </c>
      <c r="G107" s="111" t="s">
        <v>10</v>
      </c>
      <c r="H107" s="1" t="s">
        <v>81</v>
      </c>
      <c r="I107" s="75" t="s">
        <v>83</v>
      </c>
      <c r="J107" s="1" t="s">
        <v>280</v>
      </c>
      <c r="K107" s="1" t="s">
        <v>3</v>
      </c>
      <c r="L107" s="21" t="s">
        <v>84</v>
      </c>
      <c r="M107" s="125">
        <v>69.7</v>
      </c>
      <c r="N107" s="118">
        <v>1.46</v>
      </c>
      <c r="O107" s="25">
        <f t="shared" si="24"/>
        <v>32.698442484518679</v>
      </c>
      <c r="P107" s="1">
        <v>1</v>
      </c>
      <c r="Q107" s="132">
        <v>5.75</v>
      </c>
      <c r="R107" s="27">
        <f t="shared" si="25"/>
        <v>0.69565217391304346</v>
      </c>
      <c r="S107" s="1" t="s">
        <v>0</v>
      </c>
      <c r="T107" s="67" t="s">
        <v>0</v>
      </c>
      <c r="U107" s="23" t="str">
        <f t="shared" si="20"/>
        <v>NO</v>
      </c>
      <c r="V107" s="125">
        <v>23.8</v>
      </c>
      <c r="W107" s="23" t="str">
        <f t="shared" si="19"/>
        <v>NO</v>
      </c>
      <c r="X107" s="67" t="s">
        <v>0</v>
      </c>
      <c r="Y107" s="23">
        <f t="shared" si="21"/>
        <v>0</v>
      </c>
      <c r="Z107" s="12">
        <v>3</v>
      </c>
      <c r="AA107" s="28">
        <f t="shared" si="22"/>
        <v>3</v>
      </c>
      <c r="AB107" s="1">
        <v>2</v>
      </c>
      <c r="AC107" s="24">
        <f t="shared" si="23"/>
        <v>8</v>
      </c>
      <c r="AD107" s="118">
        <v>11.39</v>
      </c>
      <c r="AE107" s="6">
        <v>8</v>
      </c>
      <c r="AF107" s="138">
        <v>963.05100000000004</v>
      </c>
      <c r="AG107" s="137">
        <v>1274.6969999999999</v>
      </c>
      <c r="AH107" s="32">
        <v>1049</v>
      </c>
      <c r="AI107" s="138">
        <v>1.252</v>
      </c>
      <c r="AJ107" s="138">
        <v>0.10199999999999999</v>
      </c>
      <c r="AK107" s="137">
        <v>12.54</v>
      </c>
      <c r="AL107" s="137">
        <v>1.72</v>
      </c>
      <c r="AM107" s="137">
        <v>37.630000000000003</v>
      </c>
      <c r="AN107" s="137">
        <v>3.85</v>
      </c>
      <c r="AO107" s="137">
        <v>20.8</v>
      </c>
      <c r="AP107" s="137">
        <v>2.31</v>
      </c>
      <c r="AQ107" s="137">
        <v>28.62</v>
      </c>
      <c r="AR107" s="137">
        <v>2.48</v>
      </c>
      <c r="AS107" s="137">
        <v>-48.046999999999997</v>
      </c>
      <c r="AT107" s="137">
        <v>5.9859999999999998</v>
      </c>
      <c r="AU107" s="137">
        <v>14.163</v>
      </c>
      <c r="AV107" s="137">
        <v>2.4329999999999998</v>
      </c>
      <c r="AW107" s="137">
        <v>47.878999999999998</v>
      </c>
      <c r="AX107" s="137">
        <v>4.1360000000000001</v>
      </c>
      <c r="AY107" s="138">
        <v>0.82199999999999995</v>
      </c>
      <c r="AZ107" s="138">
        <v>0.105</v>
      </c>
      <c r="BA107" s="138">
        <v>0.98</v>
      </c>
      <c r="BB107" s="138">
        <v>0.113</v>
      </c>
      <c r="BC107" s="138">
        <v>1.02</v>
      </c>
      <c r="BD107" s="138">
        <v>0.11899999999999999</v>
      </c>
      <c r="BE107" s="138">
        <v>0.99099999999999999</v>
      </c>
      <c r="BF107" s="138">
        <v>0.11600000000000001</v>
      </c>
      <c r="BG107" s="138">
        <v>7.3999999999999996E-2</v>
      </c>
      <c r="BH107" s="138">
        <v>2.4E-2</v>
      </c>
    </row>
    <row r="108" spans="1:60" x14ac:dyDescent="0.2">
      <c r="A108" s="22">
        <v>105</v>
      </c>
      <c r="B108" s="21" t="s">
        <v>207</v>
      </c>
      <c r="C108" s="44"/>
      <c r="D108" s="140">
        <v>44530</v>
      </c>
      <c r="E108" s="1" t="s">
        <v>0</v>
      </c>
      <c r="F108" s="109" t="s">
        <v>62</v>
      </c>
      <c r="G108" s="111" t="s">
        <v>10</v>
      </c>
      <c r="H108" s="1" t="s">
        <v>81</v>
      </c>
      <c r="I108" s="75" t="s">
        <v>83</v>
      </c>
      <c r="J108" s="1" t="s">
        <v>282</v>
      </c>
      <c r="K108" s="1" t="s">
        <v>3</v>
      </c>
      <c r="L108" s="21" t="s">
        <v>84</v>
      </c>
      <c r="M108" s="125">
        <v>56.1</v>
      </c>
      <c r="N108" s="118">
        <v>1.53</v>
      </c>
      <c r="O108" s="25">
        <f t="shared" si="24"/>
        <v>23.965141612200437</v>
      </c>
      <c r="P108" s="1">
        <v>5</v>
      </c>
      <c r="Q108" s="132">
        <v>4.1100000000000003</v>
      </c>
      <c r="R108" s="27">
        <f t="shared" si="25"/>
        <v>0.97323600973236002</v>
      </c>
      <c r="S108" s="1" t="s">
        <v>0</v>
      </c>
      <c r="T108" s="66" t="s">
        <v>105</v>
      </c>
      <c r="U108" s="23" t="str">
        <f t="shared" si="20"/>
        <v>NO</v>
      </c>
      <c r="V108" s="125">
        <v>17.899999999999999</v>
      </c>
      <c r="W108" s="23" t="str">
        <f t="shared" si="19"/>
        <v>NO</v>
      </c>
      <c r="X108" s="67" t="s">
        <v>0</v>
      </c>
      <c r="Y108" s="23">
        <f t="shared" si="21"/>
        <v>0</v>
      </c>
      <c r="Z108" s="12">
        <v>4</v>
      </c>
      <c r="AA108" s="28">
        <f t="shared" si="22"/>
        <v>4</v>
      </c>
      <c r="AB108" s="1">
        <v>1</v>
      </c>
      <c r="AC108" s="24">
        <f t="shared" si="23"/>
        <v>9</v>
      </c>
      <c r="AD108" s="118">
        <v>10.25</v>
      </c>
      <c r="AE108" s="5" t="s">
        <v>105</v>
      </c>
      <c r="AF108" s="138">
        <v>1026.1369999999999</v>
      </c>
      <c r="AG108" s="137">
        <v>1321.9449999999999</v>
      </c>
      <c r="AH108" s="32">
        <v>1064</v>
      </c>
      <c r="AI108" s="138">
        <v>1.2749999999999999</v>
      </c>
      <c r="AJ108" s="138">
        <v>0.104</v>
      </c>
      <c r="AK108" s="137">
        <v>11.36</v>
      </c>
      <c r="AL108" s="137">
        <v>1.89</v>
      </c>
      <c r="AM108" s="137">
        <v>37.840000000000003</v>
      </c>
      <c r="AN108" s="137">
        <v>4.5999999999999996</v>
      </c>
      <c r="AO108" s="137">
        <v>21.51</v>
      </c>
      <c r="AP108" s="137">
        <v>2.2799999999999998</v>
      </c>
      <c r="AQ108" s="137">
        <v>28.8</v>
      </c>
      <c r="AR108" s="137">
        <v>2.84</v>
      </c>
      <c r="AS108" s="137">
        <v>-60.146999999999998</v>
      </c>
      <c r="AT108" s="137">
        <v>8.0960000000000001</v>
      </c>
      <c r="AU108" s="137">
        <v>16.591000000000001</v>
      </c>
      <c r="AV108" s="137">
        <v>2.8919999999999999</v>
      </c>
      <c r="AW108" s="137">
        <v>47.054000000000002</v>
      </c>
      <c r="AX108" s="137">
        <v>4.2830000000000004</v>
      </c>
      <c r="AY108" s="138">
        <v>0.871</v>
      </c>
      <c r="AZ108" s="138">
        <v>0.13600000000000001</v>
      </c>
      <c r="BA108" s="138">
        <v>1.0229999999999999</v>
      </c>
      <c r="BB108" s="138">
        <v>0.14299999999999999</v>
      </c>
      <c r="BC108" s="138">
        <v>1.093</v>
      </c>
      <c r="BD108" s="138">
        <v>0.14699999999999999</v>
      </c>
      <c r="BE108" s="138">
        <v>1.0429999999999999</v>
      </c>
      <c r="BF108" s="138">
        <v>0.14599999999999999</v>
      </c>
      <c r="BG108" s="138">
        <v>0.14000000000000001</v>
      </c>
      <c r="BH108" s="138">
        <v>3.9E-2</v>
      </c>
    </row>
    <row r="109" spans="1:60" x14ac:dyDescent="0.2">
      <c r="A109" s="22">
        <v>106</v>
      </c>
      <c r="B109" s="21" t="s">
        <v>208</v>
      </c>
      <c r="C109" s="44"/>
      <c r="D109" s="140">
        <v>44470</v>
      </c>
      <c r="E109" s="1" t="s">
        <v>84</v>
      </c>
      <c r="F109" s="109" t="s">
        <v>62</v>
      </c>
      <c r="G109" s="111" t="s">
        <v>8</v>
      </c>
      <c r="H109" s="1" t="s">
        <v>80</v>
      </c>
      <c r="I109" s="75" t="s">
        <v>83</v>
      </c>
      <c r="J109" s="1" t="s">
        <v>279</v>
      </c>
      <c r="K109" s="1" t="s">
        <v>3</v>
      </c>
      <c r="L109" s="21" t="s">
        <v>0</v>
      </c>
      <c r="M109" s="125">
        <v>41.6</v>
      </c>
      <c r="N109" s="118">
        <v>1.46</v>
      </c>
      <c r="O109" s="25">
        <f t="shared" si="24"/>
        <v>19.515856633514733</v>
      </c>
      <c r="P109" s="1">
        <v>2</v>
      </c>
      <c r="Q109" s="132">
        <v>4.8</v>
      </c>
      <c r="R109" s="27">
        <f t="shared" si="25"/>
        <v>0.83333333333333337</v>
      </c>
      <c r="S109" s="1" t="s">
        <v>0</v>
      </c>
      <c r="T109" s="67" t="s">
        <v>0</v>
      </c>
      <c r="U109" s="23" t="str">
        <f t="shared" si="20"/>
        <v>NO</v>
      </c>
      <c r="V109" s="125">
        <v>10.5</v>
      </c>
      <c r="W109" s="23" t="str">
        <f t="shared" si="19"/>
        <v>YES</v>
      </c>
      <c r="X109" s="67" t="s">
        <v>0</v>
      </c>
      <c r="Y109" s="23">
        <f t="shared" si="21"/>
        <v>1</v>
      </c>
      <c r="Z109" s="12">
        <v>4</v>
      </c>
      <c r="AA109" s="28">
        <f t="shared" si="22"/>
        <v>4</v>
      </c>
      <c r="AB109" s="1">
        <v>3</v>
      </c>
      <c r="AC109" s="24">
        <f t="shared" si="23"/>
        <v>11</v>
      </c>
      <c r="AD109" s="118">
        <v>14</v>
      </c>
      <c r="AE109" s="6">
        <v>14</v>
      </c>
      <c r="AF109" s="138">
        <v>1273.3789999999999</v>
      </c>
      <c r="AG109" s="137">
        <v>1777.865</v>
      </c>
      <c r="AH109" s="32">
        <v>1603</v>
      </c>
      <c r="AI109" s="138">
        <v>1.1220000000000001</v>
      </c>
      <c r="AJ109" s="138">
        <v>8.3000000000000004E-2</v>
      </c>
      <c r="AK109" s="137">
        <v>12.76</v>
      </c>
      <c r="AL109" s="137">
        <v>2.06</v>
      </c>
      <c r="AM109" s="137">
        <v>36.42</v>
      </c>
      <c r="AN109" s="137">
        <v>3.7</v>
      </c>
      <c r="AO109" s="137">
        <v>20.46</v>
      </c>
      <c r="AP109" s="137">
        <v>1.97</v>
      </c>
      <c r="AQ109" s="137">
        <v>30.19</v>
      </c>
      <c r="AR109" s="137">
        <v>2.27</v>
      </c>
      <c r="AS109" s="137">
        <v>-47.314</v>
      </c>
      <c r="AT109" s="137">
        <v>6.0540000000000003</v>
      </c>
      <c r="AU109" s="137">
        <v>16.053999999999998</v>
      </c>
      <c r="AV109" s="137">
        <v>2.9319999999999999</v>
      </c>
      <c r="AW109" s="137">
        <v>53.625</v>
      </c>
      <c r="AX109" s="137">
        <v>4.0490000000000004</v>
      </c>
      <c r="AY109" s="138">
        <v>0.82199999999999995</v>
      </c>
      <c r="AZ109" s="138">
        <v>0.10100000000000001</v>
      </c>
      <c r="BA109" s="138">
        <v>0.82199999999999995</v>
      </c>
      <c r="BB109" s="138">
        <v>0.13100000000000001</v>
      </c>
      <c r="BC109" s="138">
        <v>0.91800000000000004</v>
      </c>
      <c r="BD109" s="138">
        <v>9.2999999999999999E-2</v>
      </c>
      <c r="BE109" s="138">
        <v>0.83299999999999996</v>
      </c>
      <c r="BF109" s="138">
        <v>0.13200000000000001</v>
      </c>
      <c r="BG109" s="138">
        <v>0.24399999999999999</v>
      </c>
      <c r="BH109" s="138">
        <v>5.0999999999999997E-2</v>
      </c>
    </row>
    <row r="110" spans="1:60" x14ac:dyDescent="0.2">
      <c r="A110" s="22">
        <v>107</v>
      </c>
      <c r="B110" s="21" t="s">
        <v>209</v>
      </c>
      <c r="C110" s="44"/>
      <c r="D110" s="140">
        <v>44470</v>
      </c>
      <c r="E110" s="1" t="s">
        <v>84</v>
      </c>
      <c r="F110" s="109" t="s">
        <v>62</v>
      </c>
      <c r="G110" s="111" t="s">
        <v>8</v>
      </c>
      <c r="H110" s="1" t="s">
        <v>80</v>
      </c>
      <c r="I110" s="75" t="s">
        <v>83</v>
      </c>
      <c r="J110" s="1" t="s">
        <v>283</v>
      </c>
      <c r="K110" s="1" t="s">
        <v>3</v>
      </c>
      <c r="L110" s="21" t="s">
        <v>0</v>
      </c>
      <c r="M110" s="125">
        <v>94.4</v>
      </c>
      <c r="N110" s="118">
        <v>1.49</v>
      </c>
      <c r="O110" s="25">
        <f t="shared" si="24"/>
        <v>42.520607179856768</v>
      </c>
      <c r="P110" s="1">
        <v>1</v>
      </c>
      <c r="Q110" s="132">
        <v>4.63</v>
      </c>
      <c r="R110" s="27">
        <f t="shared" si="25"/>
        <v>0.86393088552915764</v>
      </c>
      <c r="S110" s="1" t="s">
        <v>0</v>
      </c>
      <c r="T110" s="67" t="s">
        <v>84</v>
      </c>
      <c r="U110" s="23" t="str">
        <f t="shared" si="20"/>
        <v>NO</v>
      </c>
      <c r="V110" s="125">
        <v>21.5</v>
      </c>
      <c r="W110" s="23" t="str">
        <f t="shared" si="19"/>
        <v>NO</v>
      </c>
      <c r="X110" s="67" t="s">
        <v>84</v>
      </c>
      <c r="Y110" s="23">
        <f t="shared" si="21"/>
        <v>2</v>
      </c>
      <c r="Z110" s="12">
        <v>4</v>
      </c>
      <c r="AA110" s="28">
        <f t="shared" si="22"/>
        <v>4</v>
      </c>
      <c r="AB110" s="1">
        <v>4</v>
      </c>
      <c r="AC110" s="24">
        <f t="shared" si="23"/>
        <v>12</v>
      </c>
      <c r="AD110" s="118">
        <v>12</v>
      </c>
      <c r="AE110" s="6">
        <v>11</v>
      </c>
      <c r="AF110" s="138">
        <v>654.35900000000004</v>
      </c>
      <c r="AG110" s="137">
        <v>1567.3219999999999</v>
      </c>
      <c r="AH110" s="32">
        <v>965</v>
      </c>
      <c r="AI110" s="138">
        <v>1.704</v>
      </c>
      <c r="AJ110" s="138">
        <v>0.217</v>
      </c>
      <c r="AK110" s="137">
        <v>12.47</v>
      </c>
      <c r="AL110" s="137">
        <v>2.5299999999999998</v>
      </c>
      <c r="AM110" s="137">
        <v>49.69</v>
      </c>
      <c r="AN110" s="137">
        <v>6.86</v>
      </c>
      <c r="AO110" s="137">
        <v>14.23</v>
      </c>
      <c r="AP110" s="137">
        <v>2.16</v>
      </c>
      <c r="AQ110" s="137">
        <v>23.55</v>
      </c>
      <c r="AR110" s="137">
        <v>3.84</v>
      </c>
      <c r="AS110" s="137">
        <v>-38.841999999999999</v>
      </c>
      <c r="AT110" s="137">
        <v>6.4909999999999997</v>
      </c>
      <c r="AU110" s="137">
        <v>18.893999999999998</v>
      </c>
      <c r="AV110" s="137">
        <v>4.359</v>
      </c>
      <c r="AW110" s="137">
        <v>35.279000000000003</v>
      </c>
      <c r="AX110" s="137">
        <v>4.819</v>
      </c>
      <c r="AY110" s="138">
        <v>0.46600000000000003</v>
      </c>
      <c r="AZ110" s="138">
        <v>9.5000000000000001E-2</v>
      </c>
      <c r="BA110" s="138">
        <v>0.746</v>
      </c>
      <c r="BB110" s="138">
        <v>0.125</v>
      </c>
      <c r="BC110" s="138">
        <v>0.78500000000000003</v>
      </c>
      <c r="BD110" s="138">
        <v>0.13</v>
      </c>
      <c r="BE110" s="138">
        <v>0.755</v>
      </c>
      <c r="BF110" s="138">
        <v>0.125</v>
      </c>
      <c r="BG110" s="138">
        <v>6.7000000000000004E-2</v>
      </c>
      <c r="BH110" s="138">
        <v>1.6E-2</v>
      </c>
    </row>
    <row r="111" spans="1:60" x14ac:dyDescent="0.2">
      <c r="A111" s="22">
        <v>108</v>
      </c>
      <c r="B111" s="21" t="s">
        <v>210</v>
      </c>
      <c r="C111" s="44"/>
      <c r="D111" s="140">
        <v>44470</v>
      </c>
      <c r="E111" s="1" t="s">
        <v>84</v>
      </c>
      <c r="F111" s="109" t="s">
        <v>62</v>
      </c>
      <c r="G111" s="111" t="s">
        <v>6</v>
      </c>
      <c r="H111" s="1" t="s">
        <v>80</v>
      </c>
      <c r="I111" s="75" t="s">
        <v>83</v>
      </c>
      <c r="J111" s="1" t="s">
        <v>279</v>
      </c>
      <c r="K111" s="1" t="s">
        <v>3</v>
      </c>
      <c r="L111" s="21" t="s">
        <v>0</v>
      </c>
      <c r="M111" s="125">
        <v>47.9</v>
      </c>
      <c r="N111" s="118">
        <v>1.51</v>
      </c>
      <c r="O111" s="25">
        <f t="shared" si="24"/>
        <v>21.007850532871366</v>
      </c>
      <c r="P111" s="1">
        <v>1</v>
      </c>
      <c r="Q111" s="132">
        <v>10</v>
      </c>
      <c r="R111" s="27">
        <f t="shared" si="25"/>
        <v>0.4</v>
      </c>
      <c r="S111" s="1" t="s">
        <v>84</v>
      </c>
      <c r="T111" s="67" t="s">
        <v>84</v>
      </c>
      <c r="U111" s="23" t="str">
        <f t="shared" si="20"/>
        <v>YES</v>
      </c>
      <c r="V111" s="125">
        <v>18</v>
      </c>
      <c r="W111" s="23" t="str">
        <f t="shared" si="19"/>
        <v>NO</v>
      </c>
      <c r="X111" s="67" t="s">
        <v>0</v>
      </c>
      <c r="Y111" s="23">
        <f t="shared" si="21"/>
        <v>3</v>
      </c>
      <c r="Z111" s="12">
        <v>3</v>
      </c>
      <c r="AA111" s="28">
        <f t="shared" si="22"/>
        <v>1</v>
      </c>
      <c r="AB111" s="1">
        <v>0</v>
      </c>
      <c r="AC111" s="24">
        <f t="shared" si="23"/>
        <v>4</v>
      </c>
      <c r="AD111" s="118">
        <v>27</v>
      </c>
      <c r="AE111" s="6">
        <v>18</v>
      </c>
      <c r="AF111" s="138">
        <v>537.05799999999999</v>
      </c>
      <c r="AG111" s="137">
        <v>1153.0889999999999</v>
      </c>
      <c r="AH111" s="32">
        <v>896</v>
      </c>
      <c r="AI111" s="138">
        <v>1.3240000000000001</v>
      </c>
      <c r="AJ111" s="138">
        <v>0.123</v>
      </c>
      <c r="AK111" s="137">
        <v>10.45</v>
      </c>
      <c r="AL111" s="137">
        <v>1.95</v>
      </c>
      <c r="AM111" s="137">
        <v>47.49</v>
      </c>
      <c r="AN111" s="137">
        <v>4.88</v>
      </c>
      <c r="AO111" s="137">
        <v>15.96</v>
      </c>
      <c r="AP111" s="137">
        <v>2.0299999999999998</v>
      </c>
      <c r="AQ111" s="137">
        <v>26</v>
      </c>
      <c r="AR111" s="137">
        <v>3.19</v>
      </c>
      <c r="AS111" s="137">
        <v>-36.741</v>
      </c>
      <c r="AT111" s="137">
        <v>5.2649999999999997</v>
      </c>
      <c r="AU111" s="137">
        <v>13.144</v>
      </c>
      <c r="AV111" s="137">
        <v>2.92</v>
      </c>
      <c r="AW111" s="137">
        <v>45.308</v>
      </c>
      <c r="AX111" s="137">
        <v>4.5250000000000004</v>
      </c>
      <c r="AY111" s="138">
        <v>0.53700000000000003</v>
      </c>
      <c r="AZ111" s="138">
        <v>9.9000000000000005E-2</v>
      </c>
      <c r="BA111" s="138">
        <v>0.63500000000000001</v>
      </c>
      <c r="BB111" s="138">
        <v>0.11</v>
      </c>
      <c r="BC111" s="138">
        <v>0.69299999999999995</v>
      </c>
      <c r="BD111" s="138">
        <v>0.115</v>
      </c>
      <c r="BE111" s="138">
        <v>0.64400000000000002</v>
      </c>
      <c r="BF111" s="138">
        <v>0.111</v>
      </c>
      <c r="BG111" s="138">
        <v>0.16300000000000001</v>
      </c>
      <c r="BH111" s="138">
        <v>4.2999999999999997E-2</v>
      </c>
    </row>
    <row r="112" spans="1:60" x14ac:dyDescent="0.2">
      <c r="A112" s="22">
        <v>109</v>
      </c>
      <c r="B112" s="21" t="s">
        <v>211</v>
      </c>
      <c r="C112" s="44"/>
      <c r="D112" s="140">
        <v>44470</v>
      </c>
      <c r="E112" s="1" t="s">
        <v>84</v>
      </c>
      <c r="F112" s="109" t="s">
        <v>62</v>
      </c>
      <c r="G112" s="111" t="s">
        <v>1</v>
      </c>
      <c r="H112" s="1" t="s">
        <v>80</v>
      </c>
      <c r="I112" s="75" t="s">
        <v>82</v>
      </c>
      <c r="J112" s="1" t="s">
        <v>280</v>
      </c>
      <c r="K112" s="1" t="s">
        <v>5</v>
      </c>
      <c r="L112" s="21" t="s">
        <v>0</v>
      </c>
      <c r="M112" s="125">
        <v>69</v>
      </c>
      <c r="N112" s="118">
        <v>1.72</v>
      </c>
      <c r="O112" s="25">
        <f t="shared" si="24"/>
        <v>23.323418063818284</v>
      </c>
      <c r="P112" s="1">
        <v>2</v>
      </c>
      <c r="Q112" s="132">
        <v>3.5</v>
      </c>
      <c r="R112" s="27">
        <f t="shared" si="25"/>
        <v>1.1428571428571428</v>
      </c>
      <c r="S112" s="1" t="s">
        <v>0</v>
      </c>
      <c r="T112" s="67" t="s">
        <v>0</v>
      </c>
      <c r="U112" s="23" t="str">
        <f t="shared" si="20"/>
        <v>NO</v>
      </c>
      <c r="V112" s="125">
        <v>22.9</v>
      </c>
      <c r="W112" s="23" t="str">
        <f t="shared" si="19"/>
        <v>NO</v>
      </c>
      <c r="X112" s="67" t="s">
        <v>0</v>
      </c>
      <c r="Y112" s="23">
        <f t="shared" si="21"/>
        <v>0</v>
      </c>
      <c r="Z112" s="12">
        <v>4</v>
      </c>
      <c r="AA112" s="28">
        <f t="shared" si="22"/>
        <v>4</v>
      </c>
      <c r="AB112" s="1">
        <v>4</v>
      </c>
      <c r="AC112" s="24">
        <f t="shared" si="23"/>
        <v>12</v>
      </c>
      <c r="AD112" s="118">
        <v>10.4</v>
      </c>
      <c r="AE112" s="6">
        <v>10</v>
      </c>
      <c r="AF112" s="138">
        <v>1725.4179999999999</v>
      </c>
      <c r="AG112" s="137">
        <v>1663.2339999999999</v>
      </c>
      <c r="AH112" s="32">
        <v>1458</v>
      </c>
      <c r="AI112" s="138">
        <v>1.157</v>
      </c>
      <c r="AJ112" s="138">
        <v>8.2000000000000003E-2</v>
      </c>
      <c r="AK112" s="137">
        <v>11.01</v>
      </c>
      <c r="AL112" s="137">
        <v>1.69</v>
      </c>
      <c r="AM112" s="137">
        <v>41.22</v>
      </c>
      <c r="AN112" s="137">
        <v>3.08</v>
      </c>
      <c r="AO112" s="137">
        <v>16.18</v>
      </c>
      <c r="AP112" s="137">
        <v>1.59</v>
      </c>
      <c r="AQ112" s="137">
        <v>31.56</v>
      </c>
      <c r="AR112" s="137">
        <v>2.31</v>
      </c>
      <c r="AS112" s="137">
        <v>-56.478999999999999</v>
      </c>
      <c r="AT112" s="137">
        <v>5.6349999999999998</v>
      </c>
      <c r="AU112" s="137">
        <v>16.504000000000001</v>
      </c>
      <c r="AV112" s="137">
        <v>2.7360000000000002</v>
      </c>
      <c r="AW112" s="137">
        <v>51.886000000000003</v>
      </c>
      <c r="AX112" s="137">
        <v>3.883</v>
      </c>
      <c r="AY112" s="138">
        <v>1.1359999999999999</v>
      </c>
      <c r="AZ112" s="138">
        <v>0.158</v>
      </c>
      <c r="BA112" s="138">
        <v>1.22</v>
      </c>
      <c r="BB112" s="138">
        <v>0.14499999999999999</v>
      </c>
      <c r="BC112" s="138">
        <v>1.298</v>
      </c>
      <c r="BD112" s="138">
        <v>0.14599999999999999</v>
      </c>
      <c r="BE112" s="138">
        <v>1.2490000000000001</v>
      </c>
      <c r="BF112" s="138">
        <v>0.14899999999999999</v>
      </c>
      <c r="BG112" s="138">
        <v>0.14499999999999999</v>
      </c>
      <c r="BH112" s="138">
        <v>3.3000000000000002E-2</v>
      </c>
    </row>
    <row r="113" spans="1:60" x14ac:dyDescent="0.2">
      <c r="A113" s="22">
        <v>110</v>
      </c>
      <c r="B113" s="21" t="s">
        <v>212</v>
      </c>
      <c r="C113" s="44"/>
      <c r="D113" s="140">
        <v>44470</v>
      </c>
      <c r="E113" s="1" t="s">
        <v>84</v>
      </c>
      <c r="F113" s="109" t="s">
        <v>62</v>
      </c>
      <c r="G113" s="111" t="s">
        <v>6</v>
      </c>
      <c r="H113" s="1" t="s">
        <v>80</v>
      </c>
      <c r="I113" s="75" t="s">
        <v>83</v>
      </c>
      <c r="J113" s="1" t="s">
        <v>279</v>
      </c>
      <c r="K113" s="1" t="s">
        <v>3</v>
      </c>
      <c r="L113" s="21" t="s">
        <v>0</v>
      </c>
      <c r="M113" s="125">
        <v>68.7</v>
      </c>
      <c r="N113" s="118">
        <v>1.57</v>
      </c>
      <c r="O113" s="25">
        <f t="shared" si="24"/>
        <v>27.87131323785955</v>
      </c>
      <c r="P113" s="1">
        <v>1</v>
      </c>
      <c r="Q113" s="132">
        <v>6.97</v>
      </c>
      <c r="R113" s="27">
        <f t="shared" si="25"/>
        <v>0.57388809182209466</v>
      </c>
      <c r="S113" s="1" t="s">
        <v>0</v>
      </c>
      <c r="T113" s="67" t="s">
        <v>84</v>
      </c>
      <c r="U113" s="23" t="str">
        <f t="shared" si="20"/>
        <v>NO</v>
      </c>
      <c r="V113" s="125">
        <v>12.1</v>
      </c>
      <c r="W113" s="23" t="str">
        <f t="shared" si="19"/>
        <v>NO</v>
      </c>
      <c r="X113" s="67" t="s">
        <v>84</v>
      </c>
      <c r="Y113" s="23">
        <f t="shared" si="21"/>
        <v>2</v>
      </c>
      <c r="Z113" s="12">
        <v>3</v>
      </c>
      <c r="AA113" s="28">
        <f t="shared" si="22"/>
        <v>2</v>
      </c>
      <c r="AB113" s="1">
        <v>1</v>
      </c>
      <c r="AC113" s="24">
        <f t="shared" si="23"/>
        <v>6</v>
      </c>
      <c r="AD113" s="118">
        <v>25.9</v>
      </c>
      <c r="AE113" s="6">
        <v>9</v>
      </c>
      <c r="AF113" s="138">
        <v>600.048</v>
      </c>
      <c r="AG113" s="137">
        <v>941.74300000000005</v>
      </c>
      <c r="AH113" s="32">
        <v>702</v>
      </c>
      <c r="AI113" s="138">
        <v>1.379</v>
      </c>
      <c r="AJ113" s="138">
        <v>0.11600000000000001</v>
      </c>
      <c r="AK113" s="137">
        <v>10.56</v>
      </c>
      <c r="AL113" s="137">
        <v>1.67</v>
      </c>
      <c r="AM113" s="137">
        <v>44.45</v>
      </c>
      <c r="AN113" s="137">
        <v>4.32</v>
      </c>
      <c r="AO113" s="137">
        <v>16.53</v>
      </c>
      <c r="AP113" s="137">
        <v>1.74</v>
      </c>
      <c r="AQ113" s="137">
        <v>28.24</v>
      </c>
      <c r="AR113" s="137">
        <v>2.87</v>
      </c>
      <c r="AS113" s="137">
        <v>-49.104999999999997</v>
      </c>
      <c r="AT113" s="137">
        <v>6.3449999999999998</v>
      </c>
      <c r="AU113" s="137">
        <v>17.757000000000001</v>
      </c>
      <c r="AV113" s="137">
        <v>2.7970000000000002</v>
      </c>
      <c r="AW113" s="137">
        <v>43.448</v>
      </c>
      <c r="AX113" s="137">
        <v>3.786</v>
      </c>
      <c r="AY113" s="138">
        <v>0.71699999999999997</v>
      </c>
      <c r="AZ113" s="138">
        <v>0.108</v>
      </c>
      <c r="BA113" s="138">
        <v>0.89800000000000002</v>
      </c>
      <c r="BB113" s="138">
        <v>0.113</v>
      </c>
      <c r="BC113" s="138">
        <v>0.97399999999999998</v>
      </c>
      <c r="BD113" s="138">
        <v>0.123</v>
      </c>
      <c r="BE113" s="138">
        <v>0.91</v>
      </c>
      <c r="BF113" s="138">
        <v>0.114</v>
      </c>
      <c r="BG113" s="138">
        <v>0.27200000000000002</v>
      </c>
      <c r="BH113" s="138">
        <v>7.1999999999999995E-2</v>
      </c>
    </row>
    <row r="114" spans="1:60" x14ac:dyDescent="0.2">
      <c r="A114" s="22">
        <v>111</v>
      </c>
      <c r="B114" s="21" t="s">
        <v>213</v>
      </c>
      <c r="C114" s="44"/>
      <c r="D114" s="140">
        <v>44470</v>
      </c>
      <c r="E114" s="1" t="s">
        <v>84</v>
      </c>
      <c r="F114" s="109" t="s">
        <v>62</v>
      </c>
      <c r="G114" s="111" t="s">
        <v>1</v>
      </c>
      <c r="H114" s="1" t="s">
        <v>80</v>
      </c>
      <c r="I114" s="75" t="s">
        <v>82</v>
      </c>
      <c r="J114" s="1" t="s">
        <v>279</v>
      </c>
      <c r="K114" s="1" t="s">
        <v>3</v>
      </c>
      <c r="L114" s="21" t="s">
        <v>0</v>
      </c>
      <c r="M114" s="125">
        <v>82</v>
      </c>
      <c r="N114" s="118">
        <v>1.5</v>
      </c>
      <c r="O114" s="25">
        <f t="shared" si="24"/>
        <v>36.444444444444443</v>
      </c>
      <c r="P114" s="1">
        <v>1</v>
      </c>
      <c r="Q114" s="132">
        <v>5.5</v>
      </c>
      <c r="R114" s="27">
        <f t="shared" si="25"/>
        <v>0.72727272727272729</v>
      </c>
      <c r="S114" s="1" t="s">
        <v>0</v>
      </c>
      <c r="T114" s="67" t="s">
        <v>0</v>
      </c>
      <c r="U114" s="23" t="str">
        <f t="shared" si="20"/>
        <v>NO</v>
      </c>
      <c r="V114" s="125">
        <v>13.9</v>
      </c>
      <c r="W114" s="23" t="str">
        <f t="shared" si="19"/>
        <v>NO</v>
      </c>
      <c r="X114" s="67" t="s">
        <v>0</v>
      </c>
      <c r="Y114" s="23">
        <f t="shared" si="21"/>
        <v>0</v>
      </c>
      <c r="Z114" s="12">
        <v>3</v>
      </c>
      <c r="AA114" s="28">
        <f t="shared" si="22"/>
        <v>3</v>
      </c>
      <c r="AB114" s="1">
        <v>2</v>
      </c>
      <c r="AC114" s="24">
        <f t="shared" si="23"/>
        <v>8</v>
      </c>
      <c r="AD114" s="118">
        <v>21</v>
      </c>
      <c r="AE114" s="6">
        <v>13</v>
      </c>
      <c r="AF114" s="138">
        <v>903.03099999999995</v>
      </c>
      <c r="AG114" s="137">
        <v>1537.7729999999999</v>
      </c>
      <c r="AH114" s="32">
        <v>1269</v>
      </c>
      <c r="AI114" s="138">
        <v>1.2450000000000001</v>
      </c>
      <c r="AJ114" s="138">
        <v>9.0999999999999998E-2</v>
      </c>
      <c r="AK114" s="137">
        <v>11.44</v>
      </c>
      <c r="AL114" s="137">
        <v>1.62</v>
      </c>
      <c r="AM114" s="137">
        <v>43.56</v>
      </c>
      <c r="AN114" s="137">
        <v>3.52</v>
      </c>
      <c r="AO114" s="137">
        <v>17.02</v>
      </c>
      <c r="AP114" s="137">
        <v>1.63</v>
      </c>
      <c r="AQ114" s="137">
        <v>27.73</v>
      </c>
      <c r="AR114" s="137">
        <v>2.52</v>
      </c>
      <c r="AS114" s="137">
        <v>-44.389000000000003</v>
      </c>
      <c r="AT114" s="137">
        <v>4.1740000000000004</v>
      </c>
      <c r="AU114" s="137">
        <v>13.721</v>
      </c>
      <c r="AV114" s="137">
        <v>2.2109999999999999</v>
      </c>
      <c r="AW114" s="137">
        <v>47.905000000000001</v>
      </c>
      <c r="AX114" s="137">
        <v>4.367</v>
      </c>
      <c r="AY114" s="138">
        <v>0.63200000000000001</v>
      </c>
      <c r="AZ114" s="138">
        <v>7.1999999999999995E-2</v>
      </c>
      <c r="BA114" s="138">
        <v>0.73799999999999999</v>
      </c>
      <c r="BB114" s="138">
        <v>7.3999999999999996E-2</v>
      </c>
      <c r="BC114" s="138">
        <v>0.77900000000000003</v>
      </c>
      <c r="BD114" s="138">
        <v>7.9000000000000001E-2</v>
      </c>
      <c r="BE114" s="138">
        <v>0.751</v>
      </c>
      <c r="BF114" s="138">
        <v>7.5999999999999998E-2</v>
      </c>
      <c r="BG114" s="138">
        <v>7.3999999999999996E-2</v>
      </c>
      <c r="BH114" s="138">
        <v>2.5000000000000001E-2</v>
      </c>
    </row>
    <row r="115" spans="1:60" x14ac:dyDescent="0.2">
      <c r="A115" s="22">
        <v>112</v>
      </c>
      <c r="B115" s="21" t="s">
        <v>214</v>
      </c>
      <c r="C115" s="44"/>
      <c r="D115" s="140">
        <v>44470</v>
      </c>
      <c r="E115" s="1" t="s">
        <v>84</v>
      </c>
      <c r="F115" s="109" t="s">
        <v>62</v>
      </c>
      <c r="G115" s="111" t="s">
        <v>1</v>
      </c>
      <c r="H115" s="1" t="s">
        <v>80</v>
      </c>
      <c r="I115" s="75" t="s">
        <v>83</v>
      </c>
      <c r="J115" s="1" t="s">
        <v>280</v>
      </c>
      <c r="K115" s="1" t="s">
        <v>3</v>
      </c>
      <c r="L115" s="21" t="s">
        <v>0</v>
      </c>
      <c r="M115" s="125">
        <v>56.5</v>
      </c>
      <c r="N115" s="118">
        <v>1.47</v>
      </c>
      <c r="O115" s="25">
        <f t="shared" si="24"/>
        <v>26.146513026979502</v>
      </c>
      <c r="P115" s="1">
        <v>3</v>
      </c>
      <c r="Q115" s="132">
        <v>8.1</v>
      </c>
      <c r="R115" s="27">
        <f t="shared" si="25"/>
        <v>0.49382716049382719</v>
      </c>
      <c r="S115" s="1" t="s">
        <v>0</v>
      </c>
      <c r="T115" s="67" t="s">
        <v>84</v>
      </c>
      <c r="U115" s="23" t="str">
        <f t="shared" si="20"/>
        <v>NO</v>
      </c>
      <c r="V115" s="125">
        <v>8.5</v>
      </c>
      <c r="W115" s="23" t="str">
        <f t="shared" si="19"/>
        <v>YES</v>
      </c>
      <c r="X115" s="67" t="s">
        <v>84</v>
      </c>
      <c r="Y115" s="23">
        <f t="shared" si="21"/>
        <v>3</v>
      </c>
      <c r="Z115" s="12">
        <v>2</v>
      </c>
      <c r="AA115" s="28">
        <f t="shared" si="22"/>
        <v>2</v>
      </c>
      <c r="AB115" s="1">
        <v>2</v>
      </c>
      <c r="AC115" s="24">
        <f t="shared" si="23"/>
        <v>6</v>
      </c>
      <c r="AD115" s="118">
        <v>35</v>
      </c>
      <c r="AE115" s="6">
        <v>14</v>
      </c>
      <c r="AF115" s="138">
        <v>356.85</v>
      </c>
      <c r="AG115" s="137">
        <v>875.82600000000002</v>
      </c>
      <c r="AH115" s="32">
        <v>798</v>
      </c>
      <c r="AI115" s="138">
        <v>1.123</v>
      </c>
      <c r="AJ115" s="138">
        <v>6.4000000000000001E-2</v>
      </c>
      <c r="AK115" s="137">
        <v>6.71</v>
      </c>
      <c r="AL115" s="137">
        <v>1.19</v>
      </c>
      <c r="AM115" s="137">
        <v>54.56</v>
      </c>
      <c r="AN115" s="137">
        <v>4.16</v>
      </c>
      <c r="AO115" s="137">
        <v>15.06</v>
      </c>
      <c r="AP115" s="137">
        <v>1.43</v>
      </c>
      <c r="AQ115" s="137">
        <v>24.03</v>
      </c>
      <c r="AR115" s="137">
        <v>1.87</v>
      </c>
      <c r="AS115" s="137">
        <v>-21.224</v>
      </c>
      <c r="AT115" s="137">
        <v>3.1669999999999998</v>
      </c>
      <c r="AU115" s="137">
        <v>3.387</v>
      </c>
      <c r="AV115" s="137">
        <v>0.78900000000000003</v>
      </c>
      <c r="AW115" s="137">
        <v>53.271999999999998</v>
      </c>
      <c r="AX115" s="137">
        <v>3.8969999999999998</v>
      </c>
      <c r="AY115" s="138">
        <v>0.42899999999999999</v>
      </c>
      <c r="AZ115" s="138">
        <v>6.0999999999999999E-2</v>
      </c>
      <c r="BA115" s="138">
        <v>0.46800000000000003</v>
      </c>
      <c r="BB115" s="138">
        <v>6.7000000000000004E-2</v>
      </c>
      <c r="BC115" s="138">
        <v>0.47899999999999998</v>
      </c>
      <c r="BD115" s="138">
        <v>6.9000000000000006E-2</v>
      </c>
      <c r="BE115" s="138">
        <v>0.47099999999999997</v>
      </c>
      <c r="BF115" s="138">
        <v>6.6000000000000003E-2</v>
      </c>
      <c r="BG115" s="138">
        <v>4.1000000000000002E-2</v>
      </c>
      <c r="BH115" s="138">
        <v>1.0999999999999999E-2</v>
      </c>
    </row>
    <row r="116" spans="1:60" x14ac:dyDescent="0.2">
      <c r="A116" s="22">
        <v>113</v>
      </c>
      <c r="B116" s="21" t="s">
        <v>215</v>
      </c>
      <c r="C116" s="44"/>
      <c r="D116" s="140">
        <v>44470</v>
      </c>
      <c r="E116" s="1" t="s">
        <v>84</v>
      </c>
      <c r="F116" s="109" t="s">
        <v>62</v>
      </c>
      <c r="G116" s="111" t="s">
        <v>6</v>
      </c>
      <c r="H116" s="1" t="s">
        <v>80</v>
      </c>
      <c r="I116" s="75" t="s">
        <v>83</v>
      </c>
      <c r="J116" s="1" t="s">
        <v>279</v>
      </c>
      <c r="K116" s="1" t="s">
        <v>3</v>
      </c>
      <c r="L116" s="21" t="s">
        <v>0</v>
      </c>
      <c r="M116" s="125">
        <v>59.7</v>
      </c>
      <c r="N116" s="118">
        <v>1.51</v>
      </c>
      <c r="O116" s="25">
        <f t="shared" si="24"/>
        <v>26.183062146397088</v>
      </c>
      <c r="P116" s="1">
        <v>1</v>
      </c>
      <c r="Q116" s="132">
        <v>6.03</v>
      </c>
      <c r="R116" s="27">
        <f t="shared" si="25"/>
        <v>0.66334991708126034</v>
      </c>
      <c r="S116" s="1" t="s">
        <v>0</v>
      </c>
      <c r="T116" s="67" t="s">
        <v>84</v>
      </c>
      <c r="U116" s="23" t="str">
        <f t="shared" si="20"/>
        <v>NO</v>
      </c>
      <c r="V116" s="125">
        <v>6.7</v>
      </c>
      <c r="W116" s="23" t="str">
        <f t="shared" si="19"/>
        <v>YES</v>
      </c>
      <c r="X116" s="67" t="s">
        <v>0</v>
      </c>
      <c r="Y116" s="23">
        <f t="shared" si="21"/>
        <v>2</v>
      </c>
      <c r="Z116" s="12">
        <v>3</v>
      </c>
      <c r="AA116" s="28">
        <f t="shared" si="22"/>
        <v>3</v>
      </c>
      <c r="AB116" s="1">
        <v>1</v>
      </c>
      <c r="AC116" s="24">
        <f t="shared" si="23"/>
        <v>7</v>
      </c>
      <c r="AD116" s="118">
        <v>22</v>
      </c>
      <c r="AE116" s="6">
        <v>19</v>
      </c>
      <c r="AF116" s="138">
        <v>516.40200000000004</v>
      </c>
      <c r="AG116" s="137">
        <v>1104.193</v>
      </c>
      <c r="AH116" s="32">
        <v>719</v>
      </c>
      <c r="AI116" s="138">
        <v>1.5529999999999999</v>
      </c>
      <c r="AJ116" s="138">
        <v>0.121</v>
      </c>
      <c r="AK116" s="137">
        <v>10.17</v>
      </c>
      <c r="AL116" s="137">
        <v>1.72</v>
      </c>
      <c r="AM116" s="137">
        <v>51.25</v>
      </c>
      <c r="AN116" s="137">
        <v>3.94</v>
      </c>
      <c r="AO116" s="137">
        <v>15.3</v>
      </c>
      <c r="AP116" s="137">
        <v>1.26</v>
      </c>
      <c r="AQ116" s="137">
        <v>23.38</v>
      </c>
      <c r="AR116" s="137">
        <v>1.88</v>
      </c>
      <c r="AS116" s="137">
        <v>-46.598999999999997</v>
      </c>
      <c r="AT116" s="137">
        <v>4.0999999999999996</v>
      </c>
      <c r="AU116" s="137">
        <v>12.906000000000001</v>
      </c>
      <c r="AV116" s="137">
        <v>2.6850000000000001</v>
      </c>
      <c r="AW116" s="137">
        <v>38.811999999999998</v>
      </c>
      <c r="AX116" s="137">
        <v>2.9279999999999999</v>
      </c>
      <c r="AY116" s="138">
        <v>0.51300000000000001</v>
      </c>
      <c r="AZ116" s="138">
        <v>6.0999999999999999E-2</v>
      </c>
      <c r="BA116" s="138">
        <v>0.745</v>
      </c>
      <c r="BB116" s="138">
        <v>7.2999999999999995E-2</v>
      </c>
      <c r="BC116" s="138">
        <v>0.78900000000000003</v>
      </c>
      <c r="BD116" s="138">
        <v>7.5999999999999998E-2</v>
      </c>
      <c r="BE116" s="138">
        <v>0.754</v>
      </c>
      <c r="BF116" s="138">
        <v>7.4999999999999997E-2</v>
      </c>
      <c r="BG116" s="138">
        <v>0.10199999999999999</v>
      </c>
      <c r="BH116" s="138">
        <v>2.7E-2</v>
      </c>
    </row>
    <row r="117" spans="1:60" x14ac:dyDescent="0.2">
      <c r="A117" s="22">
        <v>114</v>
      </c>
      <c r="B117" s="21" t="s">
        <v>216</v>
      </c>
      <c r="C117" s="44"/>
      <c r="D117" s="140">
        <v>44470</v>
      </c>
      <c r="E117" s="1" t="s">
        <v>84</v>
      </c>
      <c r="F117" s="109" t="s">
        <v>62</v>
      </c>
      <c r="G117" s="111" t="s">
        <v>6</v>
      </c>
      <c r="H117" s="1" t="s">
        <v>80</v>
      </c>
      <c r="I117" s="75" t="s">
        <v>82</v>
      </c>
      <c r="J117" s="1" t="s">
        <v>282</v>
      </c>
      <c r="K117" s="1" t="s">
        <v>3</v>
      </c>
      <c r="L117" s="21" t="s">
        <v>0</v>
      </c>
      <c r="M117" s="125">
        <v>83</v>
      </c>
      <c r="N117" s="118">
        <v>1.53</v>
      </c>
      <c r="O117" s="25">
        <f t="shared" si="24"/>
        <v>35.456448374556793</v>
      </c>
      <c r="P117" s="1">
        <v>1</v>
      </c>
      <c r="Q117" s="132">
        <v>5.87</v>
      </c>
      <c r="R117" s="27">
        <f t="shared" si="25"/>
        <v>0.68143100511073251</v>
      </c>
      <c r="S117" s="1" t="s">
        <v>0</v>
      </c>
      <c r="T117" s="67" t="s">
        <v>0</v>
      </c>
      <c r="U117" s="23" t="str">
        <f t="shared" si="20"/>
        <v>NO</v>
      </c>
      <c r="V117" s="125">
        <v>5.0999999999999996</v>
      </c>
      <c r="W117" s="23" t="str">
        <f t="shared" si="19"/>
        <v>YES</v>
      </c>
      <c r="X117" s="67" t="s">
        <v>0</v>
      </c>
      <c r="Y117" s="23">
        <f t="shared" si="21"/>
        <v>1</v>
      </c>
      <c r="Z117" s="12">
        <v>3</v>
      </c>
      <c r="AA117" s="28">
        <f t="shared" si="22"/>
        <v>3</v>
      </c>
      <c r="AB117" s="1">
        <v>3</v>
      </c>
      <c r="AC117" s="24">
        <f t="shared" si="23"/>
        <v>9</v>
      </c>
      <c r="AD117" s="118">
        <v>17.579999999999998</v>
      </c>
      <c r="AE117" s="6">
        <v>14</v>
      </c>
      <c r="AF117" s="138">
        <v>795.68600000000004</v>
      </c>
      <c r="AG117" s="137">
        <v>1397.7329999999999</v>
      </c>
      <c r="AH117" s="32">
        <v>1213</v>
      </c>
      <c r="AI117" s="138">
        <v>1.218</v>
      </c>
      <c r="AJ117" s="138">
        <v>0.126</v>
      </c>
      <c r="AK117" s="137">
        <v>10.039999999999999</v>
      </c>
      <c r="AL117" s="137">
        <v>1.9</v>
      </c>
      <c r="AM117" s="137">
        <v>49.91</v>
      </c>
      <c r="AN117" s="137">
        <v>5.36</v>
      </c>
      <c r="AO117" s="137">
        <v>13.33</v>
      </c>
      <c r="AP117" s="137">
        <v>1.63</v>
      </c>
      <c r="AQ117" s="137">
        <v>26.74</v>
      </c>
      <c r="AR117" s="137">
        <v>3.47</v>
      </c>
      <c r="AS117" s="137">
        <v>-36.799999999999997</v>
      </c>
      <c r="AT117" s="137">
        <v>5.8620000000000001</v>
      </c>
      <c r="AU117" s="137">
        <v>9.3510000000000009</v>
      </c>
      <c r="AV117" s="137">
        <v>2.5550000000000002</v>
      </c>
      <c r="AW117" s="137">
        <v>49.006999999999998</v>
      </c>
      <c r="AX117" s="137">
        <v>6.1829999999999998</v>
      </c>
      <c r="AY117" s="138">
        <v>0.626</v>
      </c>
      <c r="AZ117" s="138">
        <v>0.11799999999999999</v>
      </c>
      <c r="BA117" s="138">
        <v>0.70299999999999996</v>
      </c>
      <c r="BB117" s="138">
        <v>0.11799999999999999</v>
      </c>
      <c r="BC117" s="138">
        <v>0.75</v>
      </c>
      <c r="BD117" s="138">
        <v>0.122</v>
      </c>
      <c r="BE117" s="138">
        <v>0.71099999999999997</v>
      </c>
      <c r="BF117" s="138">
        <v>0.12</v>
      </c>
      <c r="BG117" s="138">
        <v>0.10299999999999999</v>
      </c>
      <c r="BH117" s="138">
        <v>3.2000000000000001E-2</v>
      </c>
    </row>
    <row r="118" spans="1:60" x14ac:dyDescent="0.2">
      <c r="A118" s="22">
        <v>115</v>
      </c>
      <c r="B118" s="21" t="s">
        <v>217</v>
      </c>
      <c r="C118" s="44"/>
      <c r="D118" s="140">
        <v>44470</v>
      </c>
      <c r="E118" s="1" t="s">
        <v>84</v>
      </c>
      <c r="F118" s="109" t="s">
        <v>62</v>
      </c>
      <c r="G118" s="111" t="s">
        <v>8</v>
      </c>
      <c r="H118" s="1" t="s">
        <v>80</v>
      </c>
      <c r="I118" s="75" t="s">
        <v>83</v>
      </c>
      <c r="J118" s="1" t="s">
        <v>279</v>
      </c>
      <c r="K118" s="1" t="s">
        <v>3</v>
      </c>
      <c r="L118" s="21" t="s">
        <v>0</v>
      </c>
      <c r="M118" s="125">
        <v>66</v>
      </c>
      <c r="N118" s="118">
        <v>1.5</v>
      </c>
      <c r="O118" s="25">
        <f t="shared" si="24"/>
        <v>29.333333333333332</v>
      </c>
      <c r="P118" s="1">
        <v>1</v>
      </c>
      <c r="Q118" s="132">
        <v>6.8</v>
      </c>
      <c r="R118" s="27">
        <f t="shared" si="25"/>
        <v>0.58823529411764708</v>
      </c>
      <c r="S118" s="1" t="s">
        <v>0</v>
      </c>
      <c r="T118" s="67" t="s">
        <v>84</v>
      </c>
      <c r="U118" s="23" t="str">
        <f t="shared" si="20"/>
        <v>NO</v>
      </c>
      <c r="V118" s="125">
        <v>14.1</v>
      </c>
      <c r="W118" s="23" t="str">
        <f t="shared" si="19"/>
        <v>NO</v>
      </c>
      <c r="X118" s="67" t="s">
        <v>0</v>
      </c>
      <c r="Y118" s="23">
        <f t="shared" si="21"/>
        <v>1</v>
      </c>
      <c r="Z118" s="12">
        <v>3</v>
      </c>
      <c r="AA118" s="28">
        <f t="shared" si="22"/>
        <v>2</v>
      </c>
      <c r="AB118" s="1">
        <v>3</v>
      </c>
      <c r="AC118" s="24">
        <f t="shared" si="23"/>
        <v>8</v>
      </c>
      <c r="AD118" s="118">
        <v>14.84</v>
      </c>
      <c r="AE118" s="6">
        <v>13</v>
      </c>
      <c r="AF118" s="138">
        <v>662.24599999999998</v>
      </c>
      <c r="AG118" s="137">
        <v>1023.838</v>
      </c>
      <c r="AH118" s="32">
        <v>832</v>
      </c>
      <c r="AI118" s="138">
        <v>1.2470000000000001</v>
      </c>
      <c r="AJ118" s="138">
        <v>0.11700000000000001</v>
      </c>
      <c r="AK118" s="137">
        <v>10.19</v>
      </c>
      <c r="AL118" s="137">
        <v>2.0299999999999998</v>
      </c>
      <c r="AM118" s="137">
        <v>47.95</v>
      </c>
      <c r="AN118" s="137">
        <v>5.09</v>
      </c>
      <c r="AO118" s="137">
        <v>15.18</v>
      </c>
      <c r="AP118" s="137">
        <v>1.82</v>
      </c>
      <c r="AQ118" s="137">
        <v>26.14</v>
      </c>
      <c r="AR118" s="137">
        <v>2.33</v>
      </c>
      <c r="AS118" s="137">
        <v>-50.317</v>
      </c>
      <c r="AT118" s="137">
        <v>5.7889999999999997</v>
      </c>
      <c r="AU118" s="137">
        <v>12.627000000000001</v>
      </c>
      <c r="AV118" s="137">
        <v>2.7719999999999998</v>
      </c>
      <c r="AW118" s="137">
        <v>48.427999999999997</v>
      </c>
      <c r="AX118" s="137">
        <v>4.5940000000000003</v>
      </c>
      <c r="AY118" s="138">
        <v>0.70399999999999996</v>
      </c>
      <c r="AZ118" s="138">
        <v>0.11</v>
      </c>
      <c r="BA118" s="138">
        <v>0.81599999999999995</v>
      </c>
      <c r="BB118" s="138">
        <v>8.8999999999999996E-2</v>
      </c>
      <c r="BC118" s="138">
        <v>0.86599999999999999</v>
      </c>
      <c r="BD118" s="138">
        <v>9.6000000000000002E-2</v>
      </c>
      <c r="BE118" s="138">
        <v>0.82699999999999996</v>
      </c>
      <c r="BF118" s="138">
        <v>9.0999999999999998E-2</v>
      </c>
      <c r="BG118" s="138">
        <v>0.13800000000000001</v>
      </c>
      <c r="BH118" s="138">
        <v>4.1000000000000002E-2</v>
      </c>
    </row>
    <row r="119" spans="1:60" x14ac:dyDescent="0.2">
      <c r="A119" s="22">
        <v>116</v>
      </c>
      <c r="B119" s="21" t="s">
        <v>93</v>
      </c>
      <c r="C119" s="44"/>
      <c r="D119" s="140">
        <v>44470</v>
      </c>
      <c r="E119" s="1" t="s">
        <v>84</v>
      </c>
      <c r="F119" s="109" t="s">
        <v>62</v>
      </c>
      <c r="G119" s="111" t="s">
        <v>8</v>
      </c>
      <c r="H119" s="1" t="s">
        <v>80</v>
      </c>
      <c r="I119" s="75" t="s">
        <v>83</v>
      </c>
      <c r="J119" s="1" t="s">
        <v>282</v>
      </c>
      <c r="K119" s="1" t="s">
        <v>3</v>
      </c>
      <c r="L119" s="21" t="s">
        <v>0</v>
      </c>
      <c r="M119" s="125">
        <v>52.9</v>
      </c>
      <c r="N119" s="118">
        <v>1.44</v>
      </c>
      <c r="O119" s="25">
        <f t="shared" si="24"/>
        <v>25.51118827160494</v>
      </c>
      <c r="P119" s="1">
        <v>1</v>
      </c>
      <c r="Q119" s="132">
        <v>9.9</v>
      </c>
      <c r="R119" s="27">
        <f t="shared" si="25"/>
        <v>0.40404040404040403</v>
      </c>
      <c r="S119" s="1" t="s">
        <v>0</v>
      </c>
      <c r="T119" s="67" t="s">
        <v>84</v>
      </c>
      <c r="U119" s="23" t="str">
        <f t="shared" si="20"/>
        <v>YES</v>
      </c>
      <c r="V119" s="125">
        <v>14</v>
      </c>
      <c r="W119" s="23" t="str">
        <f t="shared" si="19"/>
        <v>NO</v>
      </c>
      <c r="X119" s="67" t="s">
        <v>84</v>
      </c>
      <c r="Y119" s="23">
        <f t="shared" si="21"/>
        <v>3</v>
      </c>
      <c r="Z119" s="12">
        <v>3</v>
      </c>
      <c r="AA119" s="28">
        <f t="shared" si="22"/>
        <v>1</v>
      </c>
      <c r="AB119" s="1">
        <v>1</v>
      </c>
      <c r="AC119" s="24">
        <f t="shared" si="23"/>
        <v>5</v>
      </c>
      <c r="AD119" s="118">
        <v>27.92</v>
      </c>
      <c r="AE119" s="6">
        <v>18</v>
      </c>
      <c r="AF119" s="138">
        <v>475.25</v>
      </c>
      <c r="AG119" s="137">
        <v>1397.597</v>
      </c>
      <c r="AH119" s="32">
        <v>900</v>
      </c>
      <c r="AI119" s="138">
        <v>1.577</v>
      </c>
      <c r="AJ119" s="138">
        <v>0.17199999999999999</v>
      </c>
      <c r="AK119" s="137">
        <v>7.99</v>
      </c>
      <c r="AL119" s="137">
        <v>1.72</v>
      </c>
      <c r="AM119" s="137">
        <v>55.87</v>
      </c>
      <c r="AN119" s="137">
        <v>5.65</v>
      </c>
      <c r="AO119" s="137">
        <v>13.72</v>
      </c>
      <c r="AP119" s="137">
        <v>2.2000000000000002</v>
      </c>
      <c r="AQ119" s="137">
        <v>22.76</v>
      </c>
      <c r="AR119" s="137">
        <v>3.18</v>
      </c>
      <c r="AS119" s="137">
        <v>-36.448999999999998</v>
      </c>
      <c r="AT119" s="137">
        <v>6.1740000000000004</v>
      </c>
      <c r="AU119" s="137">
        <v>5.3289999999999997</v>
      </c>
      <c r="AV119" s="137">
        <v>1.5189999999999999</v>
      </c>
      <c r="AW119" s="137">
        <v>38.31</v>
      </c>
      <c r="AX119" s="137">
        <v>4.149</v>
      </c>
      <c r="AY119" s="138">
        <v>0.372</v>
      </c>
      <c r="AZ119" s="138">
        <v>6.7000000000000004E-2</v>
      </c>
      <c r="BA119" s="138">
        <v>0.55100000000000005</v>
      </c>
      <c r="BB119" s="138">
        <v>8.6999999999999994E-2</v>
      </c>
      <c r="BC119" s="138">
        <v>0.57699999999999996</v>
      </c>
      <c r="BD119" s="138">
        <v>9.0999999999999998E-2</v>
      </c>
      <c r="BE119" s="138">
        <v>0.56299999999999994</v>
      </c>
      <c r="BF119" s="138">
        <v>8.7999999999999995E-2</v>
      </c>
      <c r="BG119" s="138">
        <v>3.6999999999999998E-2</v>
      </c>
      <c r="BH119" s="138">
        <v>8.9999999999999993E-3</v>
      </c>
    </row>
    <row r="120" spans="1:60" x14ac:dyDescent="0.2">
      <c r="A120" s="22">
        <v>117</v>
      </c>
      <c r="B120" s="21" t="s">
        <v>218</v>
      </c>
      <c r="C120" s="44"/>
      <c r="D120" s="140">
        <v>44470</v>
      </c>
      <c r="E120" s="1" t="s">
        <v>84</v>
      </c>
      <c r="F120" s="109" t="s">
        <v>62</v>
      </c>
      <c r="G120" s="111" t="s">
        <v>6</v>
      </c>
      <c r="H120" s="1" t="s">
        <v>80</v>
      </c>
      <c r="I120" s="75" t="s">
        <v>83</v>
      </c>
      <c r="J120" s="1" t="s">
        <v>280</v>
      </c>
      <c r="K120" s="1" t="s">
        <v>3</v>
      </c>
      <c r="L120" s="21" t="s">
        <v>0</v>
      </c>
      <c r="M120" s="125">
        <v>76</v>
      </c>
      <c r="N120" s="118">
        <v>1.45</v>
      </c>
      <c r="O120" s="25">
        <f t="shared" si="24"/>
        <v>36.1474435196195</v>
      </c>
      <c r="P120" s="1">
        <v>1</v>
      </c>
      <c r="Q120" s="132">
        <v>8.57</v>
      </c>
      <c r="R120" s="27">
        <f t="shared" si="25"/>
        <v>0.46674445740956827</v>
      </c>
      <c r="S120" s="1" t="s">
        <v>84</v>
      </c>
      <c r="T120" s="67" t="s">
        <v>0</v>
      </c>
      <c r="U120" s="23" t="str">
        <f t="shared" si="20"/>
        <v>NO</v>
      </c>
      <c r="V120" s="125">
        <v>11.5</v>
      </c>
      <c r="W120" s="23" t="str">
        <f t="shared" si="19"/>
        <v>YES</v>
      </c>
      <c r="X120" s="67" t="s">
        <v>0</v>
      </c>
      <c r="Y120" s="23">
        <f t="shared" si="21"/>
        <v>2</v>
      </c>
      <c r="Z120" s="12">
        <v>4</v>
      </c>
      <c r="AA120" s="28">
        <f t="shared" si="22"/>
        <v>2</v>
      </c>
      <c r="AB120" s="1">
        <v>1</v>
      </c>
      <c r="AC120" s="24">
        <f t="shared" si="23"/>
        <v>7</v>
      </c>
      <c r="AD120" s="118">
        <v>27.35</v>
      </c>
      <c r="AE120" s="6">
        <v>15</v>
      </c>
      <c r="AF120" s="138">
        <v>509.339</v>
      </c>
      <c r="AG120" s="137">
        <v>1238.4880000000001</v>
      </c>
      <c r="AH120" s="32">
        <v>740</v>
      </c>
      <c r="AI120" s="138">
        <v>1.6870000000000001</v>
      </c>
      <c r="AJ120" s="138">
        <v>0.14199999999999999</v>
      </c>
      <c r="AK120" s="137">
        <v>8.99</v>
      </c>
      <c r="AL120" s="137">
        <v>1.71</v>
      </c>
      <c r="AM120" s="137">
        <v>49.02</v>
      </c>
      <c r="AN120" s="137">
        <v>3.85</v>
      </c>
      <c r="AO120" s="137">
        <v>17.739999999999998</v>
      </c>
      <c r="AP120" s="137">
        <v>1.58</v>
      </c>
      <c r="AQ120" s="137">
        <v>24.16</v>
      </c>
      <c r="AR120" s="137">
        <v>2.19</v>
      </c>
      <c r="AS120" s="137">
        <v>-46.567</v>
      </c>
      <c r="AT120" s="137">
        <v>4.2220000000000004</v>
      </c>
      <c r="AU120" s="137">
        <v>11.85</v>
      </c>
      <c r="AV120" s="137">
        <v>2.355</v>
      </c>
      <c r="AW120" s="137">
        <v>35.773000000000003</v>
      </c>
      <c r="AX120" s="137">
        <v>2.81</v>
      </c>
      <c r="AY120" s="138">
        <v>0.443</v>
      </c>
      <c r="AZ120" s="138">
        <v>5.8999999999999997E-2</v>
      </c>
      <c r="BA120" s="138">
        <v>0.70299999999999996</v>
      </c>
      <c r="BB120" s="138">
        <v>6.7000000000000004E-2</v>
      </c>
      <c r="BC120" s="138">
        <v>0.73599999999999999</v>
      </c>
      <c r="BD120" s="138">
        <v>7.1999999999999995E-2</v>
      </c>
      <c r="BE120" s="138">
        <v>0.70799999999999996</v>
      </c>
      <c r="BF120" s="138">
        <v>7.0000000000000007E-2</v>
      </c>
      <c r="BG120" s="138">
        <v>7.0000000000000007E-2</v>
      </c>
      <c r="BH120" s="138">
        <v>0.02</v>
      </c>
    </row>
    <row r="121" spans="1:60" x14ac:dyDescent="0.2">
      <c r="A121" s="22">
        <v>118</v>
      </c>
      <c r="B121" s="21" t="s">
        <v>95</v>
      </c>
      <c r="C121" s="44"/>
      <c r="D121" s="140">
        <v>44470</v>
      </c>
      <c r="E121" s="1" t="s">
        <v>84</v>
      </c>
      <c r="F121" s="109" t="s">
        <v>62</v>
      </c>
      <c r="G121" s="111" t="s">
        <v>6</v>
      </c>
      <c r="H121" s="1" t="s">
        <v>80</v>
      </c>
      <c r="I121" s="75" t="s">
        <v>83</v>
      </c>
      <c r="J121" s="1" t="s">
        <v>280</v>
      </c>
      <c r="K121" s="1" t="s">
        <v>3</v>
      </c>
      <c r="L121" s="21" t="s">
        <v>0</v>
      </c>
      <c r="M121" s="125">
        <v>73</v>
      </c>
      <c r="N121" s="118">
        <v>1.6</v>
      </c>
      <c r="O121" s="25">
        <f t="shared" si="24"/>
        <v>28.515624999999993</v>
      </c>
      <c r="P121" s="1">
        <v>1</v>
      </c>
      <c r="Q121" s="132">
        <v>4.5999999999999996</v>
      </c>
      <c r="R121" s="27">
        <f t="shared" si="25"/>
        <v>0.86956521739130443</v>
      </c>
      <c r="S121" s="1" t="s">
        <v>0</v>
      </c>
      <c r="T121" s="67" t="s">
        <v>0</v>
      </c>
      <c r="U121" s="23" t="str">
        <f t="shared" si="20"/>
        <v>NO</v>
      </c>
      <c r="V121" s="125">
        <v>17</v>
      </c>
      <c r="W121" s="23" t="str">
        <f t="shared" si="19"/>
        <v>NO</v>
      </c>
      <c r="X121" s="67" t="s">
        <v>84</v>
      </c>
      <c r="Y121" s="23">
        <f t="shared" si="21"/>
        <v>1</v>
      </c>
      <c r="Z121" s="12">
        <v>4</v>
      </c>
      <c r="AA121" s="28">
        <f t="shared" si="22"/>
        <v>4</v>
      </c>
      <c r="AB121" s="1">
        <v>3</v>
      </c>
      <c r="AC121" s="24">
        <f t="shared" si="23"/>
        <v>11</v>
      </c>
      <c r="AD121" s="118">
        <v>12.51</v>
      </c>
      <c r="AE121" s="6">
        <v>10</v>
      </c>
      <c r="AF121" s="138">
        <v>763.625</v>
      </c>
      <c r="AG121" s="137">
        <v>953.03099999999995</v>
      </c>
      <c r="AH121" s="32">
        <v>823</v>
      </c>
      <c r="AI121" s="138">
        <v>1.2829999999999999</v>
      </c>
      <c r="AJ121" s="138">
        <v>0.13700000000000001</v>
      </c>
      <c r="AK121" s="137">
        <v>12.95</v>
      </c>
      <c r="AL121" s="137">
        <v>2.2200000000000002</v>
      </c>
      <c r="AM121" s="137">
        <v>39.04</v>
      </c>
      <c r="AN121" s="137">
        <v>4.9800000000000004</v>
      </c>
      <c r="AO121" s="137">
        <v>18.77</v>
      </c>
      <c r="AP121" s="137">
        <v>2.39</v>
      </c>
      <c r="AQ121" s="137">
        <v>28.19</v>
      </c>
      <c r="AR121" s="137">
        <v>3.13</v>
      </c>
      <c r="AS121" s="137">
        <v>-62.292999999999999</v>
      </c>
      <c r="AT121" s="137">
        <v>7.4740000000000002</v>
      </c>
      <c r="AU121" s="137">
        <v>15.946999999999999</v>
      </c>
      <c r="AV121" s="137">
        <v>3.0179999999999998</v>
      </c>
      <c r="AW121" s="137">
        <v>46.197000000000003</v>
      </c>
      <c r="AX121" s="137">
        <v>6.1390000000000002</v>
      </c>
      <c r="AY121" s="138">
        <v>0.877</v>
      </c>
      <c r="AZ121" s="138">
        <v>0.13100000000000001</v>
      </c>
      <c r="BA121" s="138">
        <v>1.0009999999999999</v>
      </c>
      <c r="BB121" s="138">
        <v>0.123</v>
      </c>
      <c r="BC121" s="138">
        <v>1.0860000000000001</v>
      </c>
      <c r="BD121" s="138">
        <v>0.13400000000000001</v>
      </c>
      <c r="BE121" s="138">
        <v>1.0269999999999999</v>
      </c>
      <c r="BF121" s="138">
        <v>0.124</v>
      </c>
      <c r="BG121" s="138">
        <v>0.112</v>
      </c>
      <c r="BH121" s="138">
        <v>3.3000000000000002E-2</v>
      </c>
    </row>
    <row r="122" spans="1:60" x14ac:dyDescent="0.2">
      <c r="A122" s="22">
        <v>119</v>
      </c>
      <c r="B122" s="21" t="s">
        <v>96</v>
      </c>
      <c r="C122" s="44"/>
      <c r="D122" s="140">
        <v>44470</v>
      </c>
      <c r="E122" s="1" t="s">
        <v>84</v>
      </c>
      <c r="F122" s="109" t="s">
        <v>62</v>
      </c>
      <c r="G122" s="111" t="s">
        <v>1</v>
      </c>
      <c r="H122" s="1" t="s">
        <v>80</v>
      </c>
      <c r="I122" s="75" t="s">
        <v>83</v>
      </c>
      <c r="J122" s="1" t="s">
        <v>279</v>
      </c>
      <c r="K122" s="1" t="s">
        <v>3</v>
      </c>
      <c r="L122" s="21" t="s">
        <v>0</v>
      </c>
      <c r="M122" s="125">
        <v>67</v>
      </c>
      <c r="N122" s="118">
        <v>1.51</v>
      </c>
      <c r="O122" s="25">
        <f t="shared" si="24"/>
        <v>29.384676110696898</v>
      </c>
      <c r="P122" s="1">
        <v>2</v>
      </c>
      <c r="Q122" s="132">
        <v>5.71</v>
      </c>
      <c r="R122" s="27">
        <f t="shared" si="25"/>
        <v>0.70052539404553416</v>
      </c>
      <c r="S122" s="1" t="s">
        <v>0</v>
      </c>
      <c r="T122" s="67" t="s">
        <v>84</v>
      </c>
      <c r="U122" s="23" t="str">
        <f t="shared" si="20"/>
        <v>NO</v>
      </c>
      <c r="V122" s="125">
        <v>13</v>
      </c>
      <c r="W122" s="23" t="str">
        <f t="shared" si="19"/>
        <v>NO</v>
      </c>
      <c r="X122" s="67" t="s">
        <v>0</v>
      </c>
      <c r="Y122" s="23">
        <f t="shared" si="21"/>
        <v>1</v>
      </c>
      <c r="Z122" s="12">
        <v>2</v>
      </c>
      <c r="AA122" s="28">
        <f t="shared" si="22"/>
        <v>3</v>
      </c>
      <c r="AB122" s="1">
        <v>3</v>
      </c>
      <c r="AC122" s="24">
        <f t="shared" si="23"/>
        <v>8</v>
      </c>
      <c r="AD122" s="118">
        <v>27.18</v>
      </c>
      <c r="AE122" s="6">
        <v>12</v>
      </c>
      <c r="AF122" s="138">
        <v>614.05999999999995</v>
      </c>
      <c r="AG122" s="137">
        <v>828.08399999999995</v>
      </c>
      <c r="AH122" s="32">
        <v>675</v>
      </c>
      <c r="AI122" s="138">
        <v>1.2569999999999999</v>
      </c>
      <c r="AJ122" s="138">
        <v>9.0999999999999998E-2</v>
      </c>
      <c r="AK122" s="137">
        <v>13.16</v>
      </c>
      <c r="AL122" s="137">
        <v>1.88</v>
      </c>
      <c r="AM122" s="137">
        <v>40.06</v>
      </c>
      <c r="AN122" s="137">
        <v>4.32</v>
      </c>
      <c r="AO122" s="137">
        <v>17.29</v>
      </c>
      <c r="AP122" s="137">
        <v>1.76</v>
      </c>
      <c r="AQ122" s="137">
        <v>28.99</v>
      </c>
      <c r="AR122" s="137">
        <v>3.01</v>
      </c>
      <c r="AS122" s="137">
        <v>-49.808</v>
      </c>
      <c r="AT122" s="137">
        <v>6.5819999999999999</v>
      </c>
      <c r="AU122" s="137">
        <v>18.526</v>
      </c>
      <c r="AV122" s="137">
        <v>2.61</v>
      </c>
      <c r="AW122" s="137">
        <v>47.771999999999998</v>
      </c>
      <c r="AX122" s="137">
        <v>3.7309999999999999</v>
      </c>
      <c r="AY122" s="138">
        <v>0.84499999999999997</v>
      </c>
      <c r="AZ122" s="138">
        <v>0.11</v>
      </c>
      <c r="BA122" s="138">
        <v>1.0049999999999999</v>
      </c>
      <c r="BB122" s="138">
        <v>0.127</v>
      </c>
      <c r="BC122" s="138">
        <v>1.05</v>
      </c>
      <c r="BD122" s="138">
        <v>0.13200000000000001</v>
      </c>
      <c r="BE122" s="138">
        <v>1.02</v>
      </c>
      <c r="BF122" s="138">
        <v>0.13</v>
      </c>
      <c r="BG122" s="138">
        <v>0.121</v>
      </c>
      <c r="BH122" s="138">
        <v>3.3000000000000002E-2</v>
      </c>
    </row>
    <row r="123" spans="1:60" x14ac:dyDescent="0.2">
      <c r="A123" s="22">
        <v>120</v>
      </c>
      <c r="B123" s="21" t="s">
        <v>219</v>
      </c>
      <c r="C123" s="44"/>
      <c r="D123" s="140">
        <v>44501</v>
      </c>
      <c r="E123" s="1" t="s">
        <v>84</v>
      </c>
      <c r="F123" s="109" t="s">
        <v>62</v>
      </c>
      <c r="G123" s="111" t="s">
        <v>8</v>
      </c>
      <c r="H123" s="1" t="s">
        <v>80</v>
      </c>
      <c r="I123" s="75" t="s">
        <v>83</v>
      </c>
      <c r="J123" s="1" t="s">
        <v>280</v>
      </c>
      <c r="K123" s="1" t="s">
        <v>3</v>
      </c>
      <c r="L123" s="21" t="s">
        <v>0</v>
      </c>
      <c r="M123" s="125">
        <v>67.7</v>
      </c>
      <c r="N123" s="118">
        <v>1.47</v>
      </c>
      <c r="O123" s="25">
        <f t="shared" si="24"/>
        <v>31.32953861816836</v>
      </c>
      <c r="P123" s="1">
        <v>1</v>
      </c>
      <c r="Q123" s="132">
        <v>4</v>
      </c>
      <c r="R123" s="27">
        <f t="shared" si="25"/>
        <v>1</v>
      </c>
      <c r="S123" s="1" t="s">
        <v>0</v>
      </c>
      <c r="T123" s="67" t="s">
        <v>84</v>
      </c>
      <c r="U123" s="23" t="str">
        <f t="shared" si="20"/>
        <v>NO</v>
      </c>
      <c r="V123" s="125">
        <v>5.9</v>
      </c>
      <c r="W123" s="23" t="str">
        <f t="shared" si="19"/>
        <v>YES</v>
      </c>
      <c r="X123" s="67" t="s">
        <v>0</v>
      </c>
      <c r="Y123" s="23">
        <f t="shared" si="21"/>
        <v>2</v>
      </c>
      <c r="Z123" s="12">
        <v>4</v>
      </c>
      <c r="AA123" s="28">
        <f t="shared" si="22"/>
        <v>4</v>
      </c>
      <c r="AB123" s="1">
        <v>4</v>
      </c>
      <c r="AC123" s="24">
        <f t="shared" si="23"/>
        <v>12</v>
      </c>
      <c r="AD123" s="118">
        <v>9.59</v>
      </c>
      <c r="AE123" s="6">
        <v>15</v>
      </c>
      <c r="AF123" s="138">
        <v>1253.9100000000001</v>
      </c>
      <c r="AG123" s="137">
        <v>1444.4290000000001</v>
      </c>
      <c r="AH123" s="32">
        <v>1302</v>
      </c>
      <c r="AI123" s="138">
        <v>1.1359999999999999</v>
      </c>
      <c r="AJ123" s="138">
        <v>8.6999999999999994E-2</v>
      </c>
      <c r="AK123" s="137">
        <v>12.9</v>
      </c>
      <c r="AL123" s="137">
        <v>1.1499999999999999</v>
      </c>
      <c r="AM123" s="137">
        <v>38.68</v>
      </c>
      <c r="AN123" s="137">
        <v>3.07</v>
      </c>
      <c r="AO123" s="137">
        <v>18.309999999999999</v>
      </c>
      <c r="AP123" s="137">
        <v>1.37</v>
      </c>
      <c r="AQ123" s="137">
        <v>29.98</v>
      </c>
      <c r="AR123" s="137">
        <v>1.95</v>
      </c>
      <c r="AS123" s="137">
        <v>-59.837000000000003</v>
      </c>
      <c r="AT123" s="137">
        <v>4.7389999999999999</v>
      </c>
      <c r="AU123" s="137">
        <v>27.053000000000001</v>
      </c>
      <c r="AV123" s="137">
        <v>2.6709999999999998</v>
      </c>
      <c r="AW123" s="137">
        <v>52.8</v>
      </c>
      <c r="AX123" s="137">
        <v>4.4219999999999997</v>
      </c>
      <c r="AY123" s="138">
        <v>1.03</v>
      </c>
      <c r="AZ123" s="138">
        <v>0.108</v>
      </c>
      <c r="BA123" s="138">
        <v>0.998</v>
      </c>
      <c r="BB123" s="138">
        <v>0.159</v>
      </c>
      <c r="BC123" s="138">
        <v>1.151</v>
      </c>
      <c r="BD123" s="138">
        <v>0.10100000000000001</v>
      </c>
      <c r="BE123" s="138">
        <v>1.0189999999999999</v>
      </c>
      <c r="BF123" s="138">
        <v>0.159</v>
      </c>
      <c r="BG123" s="138">
        <v>0.26100000000000001</v>
      </c>
      <c r="BH123" s="138">
        <v>7.5999999999999998E-2</v>
      </c>
    </row>
    <row r="124" spans="1:60" x14ac:dyDescent="0.2">
      <c r="A124" s="22">
        <v>121</v>
      </c>
      <c r="B124" s="21" t="s">
        <v>220</v>
      </c>
      <c r="C124" s="44"/>
      <c r="D124" s="140">
        <v>44501</v>
      </c>
      <c r="E124" s="1" t="s">
        <v>84</v>
      </c>
      <c r="F124" s="109" t="s">
        <v>62</v>
      </c>
      <c r="G124" s="111" t="s">
        <v>1</v>
      </c>
      <c r="H124" s="1" t="s">
        <v>80</v>
      </c>
      <c r="I124" s="75" t="s">
        <v>83</v>
      </c>
      <c r="J124" s="1" t="s">
        <v>279</v>
      </c>
      <c r="K124" s="1" t="s">
        <v>3</v>
      </c>
      <c r="L124" s="21" t="s">
        <v>0</v>
      </c>
      <c r="M124" s="125">
        <v>61.6</v>
      </c>
      <c r="N124" s="118">
        <v>1.49</v>
      </c>
      <c r="O124" s="25">
        <f t="shared" si="24"/>
        <v>27.746497905499755</v>
      </c>
      <c r="P124" s="1">
        <v>1</v>
      </c>
      <c r="Q124" s="132">
        <v>5.79</v>
      </c>
      <c r="R124" s="27">
        <f t="shared" si="25"/>
        <v>0.69084628670120896</v>
      </c>
      <c r="S124" s="1" t="s">
        <v>0</v>
      </c>
      <c r="T124" s="67" t="s">
        <v>0</v>
      </c>
      <c r="U124" s="23" t="str">
        <f t="shared" si="20"/>
        <v>NO</v>
      </c>
      <c r="V124" s="125">
        <v>13.7</v>
      </c>
      <c r="W124" s="23" t="str">
        <f t="shared" si="19"/>
        <v>NO</v>
      </c>
      <c r="X124" s="67" t="s">
        <v>0</v>
      </c>
      <c r="Y124" s="23">
        <f t="shared" si="21"/>
        <v>0</v>
      </c>
      <c r="Z124" s="12">
        <v>4</v>
      </c>
      <c r="AA124" s="28">
        <f t="shared" si="22"/>
        <v>3</v>
      </c>
      <c r="AB124" s="1">
        <v>4</v>
      </c>
      <c r="AC124" s="24">
        <f t="shared" si="23"/>
        <v>11</v>
      </c>
      <c r="AD124" s="118">
        <v>17</v>
      </c>
      <c r="AE124" s="6">
        <v>12</v>
      </c>
      <c r="AF124" s="138">
        <v>366.49400000000003</v>
      </c>
      <c r="AG124" s="137">
        <v>919.06500000000005</v>
      </c>
      <c r="AH124" s="32">
        <v>707</v>
      </c>
      <c r="AI124" s="138">
        <v>1.3520000000000001</v>
      </c>
      <c r="AJ124" s="138">
        <v>0.14399999999999999</v>
      </c>
      <c r="AK124" s="137">
        <v>9.81</v>
      </c>
      <c r="AL124" s="137">
        <v>1.71</v>
      </c>
      <c r="AM124" s="137">
        <v>51.11</v>
      </c>
      <c r="AN124" s="137">
        <v>5.85</v>
      </c>
      <c r="AO124" s="137">
        <v>15.9</v>
      </c>
      <c r="AP124" s="137">
        <v>1.84</v>
      </c>
      <c r="AQ124" s="137">
        <v>23.32</v>
      </c>
      <c r="AR124" s="137">
        <v>2.91</v>
      </c>
      <c r="AS124" s="137">
        <v>-37.454999999999998</v>
      </c>
      <c r="AT124" s="137">
        <v>4.3259999999999996</v>
      </c>
      <c r="AU124" s="137">
        <v>10.324</v>
      </c>
      <c r="AV124" s="137">
        <v>2.4329999999999998</v>
      </c>
      <c r="AW124" s="137">
        <v>44.38</v>
      </c>
      <c r="AX124" s="137">
        <v>5.048</v>
      </c>
      <c r="AY124" s="138">
        <v>0.433</v>
      </c>
      <c r="AZ124" s="138">
        <v>7.8E-2</v>
      </c>
      <c r="BA124" s="138">
        <v>0.54200000000000004</v>
      </c>
      <c r="BB124" s="138">
        <v>7.9000000000000001E-2</v>
      </c>
      <c r="BC124" s="138">
        <v>0.57299999999999995</v>
      </c>
      <c r="BD124" s="138">
        <v>8.3000000000000004E-2</v>
      </c>
      <c r="BE124" s="138">
        <v>0.55000000000000004</v>
      </c>
      <c r="BF124" s="138">
        <v>0.08</v>
      </c>
      <c r="BG124" s="138">
        <v>9.7000000000000003E-2</v>
      </c>
      <c r="BH124" s="138">
        <v>2.5000000000000001E-2</v>
      </c>
    </row>
    <row r="125" spans="1:60" ht="14.25" customHeight="1" x14ac:dyDescent="0.2">
      <c r="A125" s="22">
        <v>122</v>
      </c>
      <c r="B125" s="21" t="s">
        <v>221</v>
      </c>
      <c r="C125" s="44"/>
      <c r="D125" s="140">
        <v>44501</v>
      </c>
      <c r="E125" s="1" t="s">
        <v>84</v>
      </c>
      <c r="F125" s="109" t="s">
        <v>62</v>
      </c>
      <c r="G125" s="111" t="s">
        <v>8</v>
      </c>
      <c r="H125" s="1" t="s">
        <v>80</v>
      </c>
      <c r="I125" s="75" t="s">
        <v>83</v>
      </c>
      <c r="J125" s="1" t="s">
        <v>282</v>
      </c>
      <c r="K125" s="1" t="s">
        <v>3</v>
      </c>
      <c r="L125" s="21" t="s">
        <v>0</v>
      </c>
      <c r="M125" s="125">
        <v>64</v>
      </c>
      <c r="N125" s="118">
        <v>1.51</v>
      </c>
      <c r="O125" s="25">
        <f t="shared" si="24"/>
        <v>28.068944344546292</v>
      </c>
      <c r="P125" s="1">
        <v>1</v>
      </c>
      <c r="Q125" s="132">
        <v>5.4</v>
      </c>
      <c r="R125" s="27">
        <f t="shared" si="25"/>
        <v>0.7407407407407407</v>
      </c>
      <c r="S125" s="1" t="s">
        <v>0</v>
      </c>
      <c r="T125" s="67" t="s">
        <v>84</v>
      </c>
      <c r="U125" s="23" t="str">
        <f t="shared" si="20"/>
        <v>NO</v>
      </c>
      <c r="V125" s="125">
        <v>19.3</v>
      </c>
      <c r="W125" s="23" t="str">
        <f t="shared" si="19"/>
        <v>NO</v>
      </c>
      <c r="X125" s="67" t="s">
        <v>0</v>
      </c>
      <c r="Y125" s="23">
        <f t="shared" si="21"/>
        <v>1</v>
      </c>
      <c r="Z125" s="12">
        <v>4</v>
      </c>
      <c r="AA125" s="28">
        <f t="shared" si="22"/>
        <v>3</v>
      </c>
      <c r="AB125" s="1">
        <v>4</v>
      </c>
      <c r="AC125" s="24">
        <f t="shared" si="23"/>
        <v>11</v>
      </c>
      <c r="AD125" s="118">
        <v>23</v>
      </c>
      <c r="AE125" s="6">
        <v>16</v>
      </c>
      <c r="AF125" s="138">
        <v>670.09299999999996</v>
      </c>
      <c r="AG125" s="137">
        <v>1053.5139999999999</v>
      </c>
      <c r="AH125" s="32">
        <v>936</v>
      </c>
      <c r="AI125" s="138">
        <v>1.1379999999999999</v>
      </c>
      <c r="AJ125" s="138">
        <v>0.108</v>
      </c>
      <c r="AK125" s="137">
        <v>11.24</v>
      </c>
      <c r="AL125" s="137">
        <v>1.94</v>
      </c>
      <c r="AM125" s="137">
        <v>46.44</v>
      </c>
      <c r="AN125" s="137">
        <v>4.93</v>
      </c>
      <c r="AO125" s="137">
        <v>12.87</v>
      </c>
      <c r="AP125" s="137">
        <v>1.98</v>
      </c>
      <c r="AQ125" s="137">
        <v>29.36</v>
      </c>
      <c r="AR125" s="137">
        <v>2.76</v>
      </c>
      <c r="AS125" s="137">
        <v>-36.213000000000001</v>
      </c>
      <c r="AT125" s="137">
        <v>6.3810000000000002</v>
      </c>
      <c r="AU125" s="137">
        <v>12.442</v>
      </c>
      <c r="AV125" s="137">
        <v>3.0590000000000002</v>
      </c>
      <c r="AW125" s="137">
        <v>52.999000000000002</v>
      </c>
      <c r="AX125" s="137">
        <v>5.0350000000000001</v>
      </c>
      <c r="AY125" s="138">
        <v>0.76</v>
      </c>
      <c r="AZ125" s="138">
        <v>0.127</v>
      </c>
      <c r="BA125" s="138">
        <v>0.75</v>
      </c>
      <c r="BB125" s="138">
        <v>0.13800000000000001</v>
      </c>
      <c r="BC125" s="138">
        <v>0.86899999999999999</v>
      </c>
      <c r="BD125" s="138">
        <v>0.129</v>
      </c>
      <c r="BE125" s="138">
        <v>0.76900000000000002</v>
      </c>
      <c r="BF125" s="138">
        <v>0.13900000000000001</v>
      </c>
      <c r="BG125" s="138">
        <v>0.27</v>
      </c>
      <c r="BH125" s="138">
        <v>7.9000000000000001E-2</v>
      </c>
    </row>
    <row r="126" spans="1:60" ht="14.25" customHeight="1" x14ac:dyDescent="0.2">
      <c r="A126" s="22">
        <v>123</v>
      </c>
      <c r="B126" s="21" t="s">
        <v>222</v>
      </c>
      <c r="C126" s="44"/>
      <c r="D126" s="140">
        <v>44501</v>
      </c>
      <c r="E126" s="1" t="s">
        <v>84</v>
      </c>
      <c r="F126" s="109" t="s">
        <v>62</v>
      </c>
      <c r="G126" s="111" t="s">
        <v>8</v>
      </c>
      <c r="H126" s="1" t="s">
        <v>80</v>
      </c>
      <c r="I126" s="75" t="s">
        <v>83</v>
      </c>
      <c r="J126" s="1" t="s">
        <v>279</v>
      </c>
      <c r="K126" s="1" t="s">
        <v>3</v>
      </c>
      <c r="L126" s="21" t="s">
        <v>0</v>
      </c>
      <c r="M126" s="125">
        <v>72.3</v>
      </c>
      <c r="N126" s="118">
        <v>1.57</v>
      </c>
      <c r="O126" s="25">
        <f t="shared" si="24"/>
        <v>29.33181873503996</v>
      </c>
      <c r="P126" s="1">
        <v>2</v>
      </c>
      <c r="Q126" s="132">
        <v>3.4</v>
      </c>
      <c r="R126" s="27">
        <f t="shared" si="25"/>
        <v>1.1764705882352942</v>
      </c>
      <c r="S126" s="1" t="s">
        <v>0</v>
      </c>
      <c r="T126" s="67" t="s">
        <v>84</v>
      </c>
      <c r="U126" s="23" t="str">
        <f t="shared" si="20"/>
        <v>NO</v>
      </c>
      <c r="V126" s="125">
        <v>12.3</v>
      </c>
      <c r="W126" s="23" t="str">
        <f t="shared" si="19"/>
        <v>NO</v>
      </c>
      <c r="X126" s="67" t="s">
        <v>84</v>
      </c>
      <c r="Y126" s="23">
        <f t="shared" si="21"/>
        <v>2</v>
      </c>
      <c r="Z126" s="12">
        <v>3</v>
      </c>
      <c r="AA126" s="28">
        <f t="shared" si="22"/>
        <v>4</v>
      </c>
      <c r="AB126" s="1">
        <v>3</v>
      </c>
      <c r="AC126" s="24">
        <f t="shared" si="23"/>
        <v>10</v>
      </c>
      <c r="AD126" s="118">
        <v>14.19</v>
      </c>
      <c r="AE126" s="6">
        <v>10</v>
      </c>
      <c r="AF126" s="138">
        <v>711.80399999999997</v>
      </c>
      <c r="AG126" s="137">
        <v>920.58299999999997</v>
      </c>
      <c r="AH126" s="32">
        <v>782</v>
      </c>
      <c r="AI126" s="138">
        <v>1.1990000000000001</v>
      </c>
      <c r="AJ126" s="138">
        <v>9.6000000000000002E-2</v>
      </c>
      <c r="AK126" s="137">
        <v>10.19</v>
      </c>
      <c r="AL126" s="137">
        <v>1.5</v>
      </c>
      <c r="AM126" s="137">
        <v>46.25</v>
      </c>
      <c r="AN126" s="137">
        <v>3.47</v>
      </c>
      <c r="AO126" s="137">
        <v>14.82</v>
      </c>
      <c r="AP126" s="137">
        <v>1.43</v>
      </c>
      <c r="AQ126" s="137">
        <v>28.81</v>
      </c>
      <c r="AR126" s="137">
        <v>2.25</v>
      </c>
      <c r="AS126" s="137">
        <v>-38.170999999999999</v>
      </c>
      <c r="AT126" s="137">
        <v>5.1580000000000004</v>
      </c>
      <c r="AU126" s="137">
        <v>11.766</v>
      </c>
      <c r="AV126" s="137">
        <v>2.4239999999999999</v>
      </c>
      <c r="AW126" s="137">
        <v>50.085999999999999</v>
      </c>
      <c r="AX126" s="137">
        <v>4.3550000000000004</v>
      </c>
      <c r="AY126" s="138">
        <v>0.82</v>
      </c>
      <c r="AZ126" s="138">
        <v>0.1</v>
      </c>
      <c r="BA126" s="138">
        <v>0.93500000000000005</v>
      </c>
      <c r="BB126" s="138">
        <v>8.6999999999999994E-2</v>
      </c>
      <c r="BC126" s="138">
        <v>0.96799999999999997</v>
      </c>
      <c r="BD126" s="138">
        <v>9.4E-2</v>
      </c>
      <c r="BE126" s="138">
        <v>0.94599999999999995</v>
      </c>
      <c r="BF126" s="138">
        <v>9.1999999999999998E-2</v>
      </c>
      <c r="BG126" s="138">
        <v>8.7999999999999995E-2</v>
      </c>
      <c r="BH126" s="138">
        <v>3.1E-2</v>
      </c>
    </row>
    <row r="127" spans="1:60" ht="14.25" customHeight="1" x14ac:dyDescent="0.2">
      <c r="A127" s="22">
        <v>124</v>
      </c>
      <c r="B127" s="21" t="s">
        <v>223</v>
      </c>
      <c r="C127" s="44"/>
      <c r="D127" s="140">
        <v>44501</v>
      </c>
      <c r="E127" s="1" t="s">
        <v>84</v>
      </c>
      <c r="F127" s="109" t="s">
        <v>62</v>
      </c>
      <c r="G127" s="111" t="s">
        <v>1</v>
      </c>
      <c r="H127" s="1" t="s">
        <v>80</v>
      </c>
      <c r="I127" s="75" t="s">
        <v>83</v>
      </c>
      <c r="J127" s="1" t="s">
        <v>280</v>
      </c>
      <c r="K127" s="1" t="s">
        <v>3</v>
      </c>
      <c r="L127" s="21" t="s">
        <v>0</v>
      </c>
      <c r="M127" s="125">
        <v>90</v>
      </c>
      <c r="N127" s="118">
        <v>1.65</v>
      </c>
      <c r="O127" s="25">
        <f t="shared" si="24"/>
        <v>33.057851239669425</v>
      </c>
      <c r="P127" s="1">
        <v>1</v>
      </c>
      <c r="Q127" s="132">
        <v>10.199999999999999</v>
      </c>
      <c r="R127" s="27">
        <f t="shared" si="25"/>
        <v>0.39215686274509809</v>
      </c>
      <c r="S127" s="1" t="s">
        <v>0</v>
      </c>
      <c r="T127" s="67" t="s">
        <v>0</v>
      </c>
      <c r="U127" s="23" t="str">
        <f t="shared" si="20"/>
        <v>NO</v>
      </c>
      <c r="V127" s="125">
        <v>18.7</v>
      </c>
      <c r="W127" s="23" t="str">
        <f t="shared" si="19"/>
        <v>NO</v>
      </c>
      <c r="X127" s="67" t="s">
        <v>0</v>
      </c>
      <c r="Y127" s="23">
        <f t="shared" si="21"/>
        <v>0</v>
      </c>
      <c r="Z127" s="12">
        <v>4</v>
      </c>
      <c r="AA127" s="28">
        <f t="shared" si="22"/>
        <v>1</v>
      </c>
      <c r="AB127" s="1">
        <v>2</v>
      </c>
      <c r="AC127" s="24">
        <f t="shared" si="23"/>
        <v>7</v>
      </c>
      <c r="AD127" s="118">
        <v>48</v>
      </c>
      <c r="AE127" s="6">
        <v>12</v>
      </c>
      <c r="AF127" s="138">
        <v>516.17200000000003</v>
      </c>
      <c r="AG127" s="137">
        <v>1920.9549999999999</v>
      </c>
      <c r="AH127" s="32">
        <v>842</v>
      </c>
      <c r="AI127" s="138">
        <v>2.2869999999999999</v>
      </c>
      <c r="AJ127" s="138">
        <v>0.182</v>
      </c>
      <c r="AK127" s="137">
        <v>9.24</v>
      </c>
      <c r="AL127" s="137">
        <v>1.63</v>
      </c>
      <c r="AM127" s="137">
        <v>59.12</v>
      </c>
      <c r="AN127" s="137">
        <v>4.0199999999999996</v>
      </c>
      <c r="AO127" s="137">
        <v>12.55</v>
      </c>
      <c r="AP127" s="137">
        <v>1.36</v>
      </c>
      <c r="AQ127" s="137">
        <v>19.25</v>
      </c>
      <c r="AR127" s="137">
        <v>1.87</v>
      </c>
      <c r="AS127" s="137">
        <v>-39.264000000000003</v>
      </c>
      <c r="AT127" s="137">
        <v>3.5209999999999999</v>
      </c>
      <c r="AU127" s="137">
        <v>12.195</v>
      </c>
      <c r="AV127" s="137">
        <v>2.3170000000000002</v>
      </c>
      <c r="AW127" s="137">
        <v>26.404</v>
      </c>
      <c r="AX127" s="137">
        <v>2.1080000000000001</v>
      </c>
      <c r="AY127" s="138">
        <v>0.29399999999999998</v>
      </c>
      <c r="AZ127" s="138">
        <v>3.7999999999999999E-2</v>
      </c>
      <c r="BA127" s="138">
        <v>0.61599999999999999</v>
      </c>
      <c r="BB127" s="138">
        <v>5.2999999999999999E-2</v>
      </c>
      <c r="BC127" s="138">
        <v>0.66500000000000004</v>
      </c>
      <c r="BD127" s="138">
        <v>5.8000000000000003E-2</v>
      </c>
      <c r="BE127" s="138">
        <v>0.63100000000000001</v>
      </c>
      <c r="BF127" s="138">
        <v>5.2999999999999999E-2</v>
      </c>
      <c r="BG127" s="138">
        <v>6.8000000000000005E-2</v>
      </c>
      <c r="BH127" s="138">
        <v>1.7999999999999999E-2</v>
      </c>
    </row>
    <row r="128" spans="1:60" ht="14.25" customHeight="1" x14ac:dyDescent="0.2">
      <c r="A128" s="22">
        <v>125</v>
      </c>
      <c r="B128" s="21" t="s">
        <v>224</v>
      </c>
      <c r="C128" s="44"/>
      <c r="D128" s="140">
        <v>44501</v>
      </c>
      <c r="E128" s="1" t="s">
        <v>84</v>
      </c>
      <c r="F128" s="109" t="s">
        <v>62</v>
      </c>
      <c r="G128" s="111" t="s">
        <v>1</v>
      </c>
      <c r="H128" s="1" t="s">
        <v>80</v>
      </c>
      <c r="I128" s="75" t="s">
        <v>83</v>
      </c>
      <c r="J128" s="1" t="s">
        <v>282</v>
      </c>
      <c r="K128" s="1" t="s">
        <v>3</v>
      </c>
      <c r="L128" s="21" t="s">
        <v>0</v>
      </c>
      <c r="M128" s="125">
        <v>90.3</v>
      </c>
      <c r="N128" s="118">
        <v>1.48</v>
      </c>
      <c r="O128" s="25">
        <f t="shared" si="24"/>
        <v>41.225346968590209</v>
      </c>
      <c r="P128" s="1">
        <v>1</v>
      </c>
      <c r="Q128" s="132">
        <v>9.0500000000000007</v>
      </c>
      <c r="R128" s="27">
        <f t="shared" si="25"/>
        <v>0.44198895027624308</v>
      </c>
      <c r="S128" s="1" t="s">
        <v>0</v>
      </c>
      <c r="T128" s="67" t="s">
        <v>0</v>
      </c>
      <c r="U128" s="23" t="str">
        <f t="shared" si="20"/>
        <v>NO</v>
      </c>
      <c r="V128" s="125">
        <v>15.8</v>
      </c>
      <c r="W128" s="23" t="str">
        <f t="shared" si="19"/>
        <v>NO</v>
      </c>
      <c r="X128" s="67" t="s">
        <v>0</v>
      </c>
      <c r="Y128" s="23">
        <f t="shared" si="21"/>
        <v>0</v>
      </c>
      <c r="Z128" s="12">
        <v>3</v>
      </c>
      <c r="AA128" s="28">
        <f t="shared" si="22"/>
        <v>1</v>
      </c>
      <c r="AB128" s="1">
        <v>1</v>
      </c>
      <c r="AC128" s="24">
        <f t="shared" si="23"/>
        <v>5</v>
      </c>
      <c r="AD128" s="118">
        <v>23</v>
      </c>
      <c r="AE128" s="6">
        <v>23</v>
      </c>
      <c r="AF128" s="138">
        <v>451.31</v>
      </c>
      <c r="AG128" s="137">
        <v>1364.35</v>
      </c>
      <c r="AH128" s="32">
        <v>1009</v>
      </c>
      <c r="AI128" s="138">
        <v>1.3939999999999999</v>
      </c>
      <c r="AJ128" s="138">
        <v>9.7000000000000003E-2</v>
      </c>
      <c r="AK128" s="137">
        <v>9.7100000000000009</v>
      </c>
      <c r="AL128" s="137">
        <v>2.25</v>
      </c>
      <c r="AM128" s="137">
        <v>58.11</v>
      </c>
      <c r="AN128" s="137">
        <v>5.86</v>
      </c>
      <c r="AO128" s="137">
        <v>13.37</v>
      </c>
      <c r="AP128" s="137">
        <v>1.76</v>
      </c>
      <c r="AQ128" s="137">
        <v>18.829999999999998</v>
      </c>
      <c r="AR128" s="137">
        <v>2.3199999999999998</v>
      </c>
      <c r="AS128" s="137">
        <v>-40.93</v>
      </c>
      <c r="AT128" s="137">
        <v>5.4080000000000004</v>
      </c>
      <c r="AU128" s="137">
        <v>11.840999999999999</v>
      </c>
      <c r="AV128" s="137">
        <v>2.64</v>
      </c>
      <c r="AW128" s="137">
        <v>43.017000000000003</v>
      </c>
      <c r="AX128" s="137">
        <v>3.3679999999999999</v>
      </c>
      <c r="AY128" s="138">
        <v>0.36899999999999999</v>
      </c>
      <c r="AZ128" s="138">
        <v>6.8000000000000005E-2</v>
      </c>
      <c r="BA128" s="138">
        <v>0.45800000000000002</v>
      </c>
      <c r="BB128" s="138">
        <v>7.8E-2</v>
      </c>
      <c r="BC128" s="138">
        <v>0.505</v>
      </c>
      <c r="BD128" s="138">
        <v>8.5000000000000006E-2</v>
      </c>
      <c r="BE128" s="138">
        <v>0.48599999999999999</v>
      </c>
      <c r="BF128" s="138">
        <v>8.1000000000000003E-2</v>
      </c>
      <c r="BG128" s="138">
        <v>5.1999999999999998E-2</v>
      </c>
      <c r="BH128" s="138">
        <v>1.6E-2</v>
      </c>
    </row>
    <row r="129" spans="1:60" ht="14.25" customHeight="1" x14ac:dyDescent="0.2">
      <c r="A129" s="22">
        <v>126</v>
      </c>
      <c r="B129" s="21" t="s">
        <v>225</v>
      </c>
      <c r="C129" s="44"/>
      <c r="D129" s="140">
        <v>44501</v>
      </c>
      <c r="E129" s="1" t="s">
        <v>84</v>
      </c>
      <c r="F129" s="109" t="s">
        <v>62</v>
      </c>
      <c r="G129" s="111" t="s">
        <v>6</v>
      </c>
      <c r="H129" s="1" t="s">
        <v>80</v>
      </c>
      <c r="I129" s="75" t="s">
        <v>83</v>
      </c>
      <c r="J129" s="1" t="s">
        <v>279</v>
      </c>
      <c r="K129" s="1" t="s">
        <v>5</v>
      </c>
      <c r="L129" s="21" t="s">
        <v>0</v>
      </c>
      <c r="M129" s="125">
        <v>62.8</v>
      </c>
      <c r="N129" s="118">
        <v>1.56</v>
      </c>
      <c r="O129" s="25">
        <f t="shared" si="24"/>
        <v>25.805391190006571</v>
      </c>
      <c r="P129" s="1">
        <v>3</v>
      </c>
      <c r="Q129" s="132">
        <v>5.19</v>
      </c>
      <c r="R129" s="27">
        <f t="shared" si="25"/>
        <v>0.77071290944123305</v>
      </c>
      <c r="S129" s="1" t="s">
        <v>84</v>
      </c>
      <c r="T129" s="67" t="s">
        <v>84</v>
      </c>
      <c r="U129" s="23" t="str">
        <f t="shared" si="20"/>
        <v>NO</v>
      </c>
      <c r="V129" s="125">
        <v>17.5</v>
      </c>
      <c r="W129" s="23" t="str">
        <f t="shared" si="19"/>
        <v>YES</v>
      </c>
      <c r="X129" s="67" t="s">
        <v>0</v>
      </c>
      <c r="Y129" s="23">
        <f t="shared" si="21"/>
        <v>3</v>
      </c>
      <c r="Z129" s="12">
        <v>4</v>
      </c>
      <c r="AA129" s="28">
        <f t="shared" si="22"/>
        <v>3</v>
      </c>
      <c r="AB129" s="1">
        <v>2</v>
      </c>
      <c r="AC129" s="24">
        <f t="shared" si="23"/>
        <v>9</v>
      </c>
      <c r="AD129" s="118">
        <v>28</v>
      </c>
      <c r="AE129" s="6">
        <v>13</v>
      </c>
      <c r="AF129" s="138">
        <v>858.10500000000002</v>
      </c>
      <c r="AG129" s="137">
        <v>1214.3989999999999</v>
      </c>
      <c r="AH129" s="32">
        <v>1079</v>
      </c>
      <c r="AI129" s="138">
        <v>1.133</v>
      </c>
      <c r="AJ129" s="138">
        <v>0.05</v>
      </c>
      <c r="AK129" s="137">
        <v>11.96</v>
      </c>
      <c r="AL129" s="137">
        <v>1.39</v>
      </c>
      <c r="AM129" s="137">
        <v>43.2</v>
      </c>
      <c r="AN129" s="137">
        <v>2.91</v>
      </c>
      <c r="AO129" s="137">
        <v>14.97</v>
      </c>
      <c r="AP129" s="137">
        <v>0.84</v>
      </c>
      <c r="AQ129" s="137">
        <v>29.98</v>
      </c>
      <c r="AR129" s="137">
        <v>1.68</v>
      </c>
      <c r="AS129" s="137">
        <v>-36.942999999999998</v>
      </c>
      <c r="AT129" s="137">
        <v>3.21</v>
      </c>
      <c r="AU129" s="137">
        <v>10.807</v>
      </c>
      <c r="AV129" s="137">
        <v>1.9870000000000001</v>
      </c>
      <c r="AW129" s="137">
        <v>53.036999999999999</v>
      </c>
      <c r="AX129" s="137">
        <v>2.2749999999999999</v>
      </c>
      <c r="AY129" s="138">
        <v>0.747</v>
      </c>
      <c r="AZ129" s="138">
        <v>7.6999999999999999E-2</v>
      </c>
      <c r="BA129" s="138">
        <v>0.81</v>
      </c>
      <c r="BB129" s="138">
        <v>7.6999999999999999E-2</v>
      </c>
      <c r="BC129" s="138">
        <v>0.84</v>
      </c>
      <c r="BD129" s="138">
        <v>7.9000000000000001E-2</v>
      </c>
      <c r="BE129" s="138">
        <v>0.81499999999999995</v>
      </c>
      <c r="BF129" s="138">
        <v>7.5999999999999998E-2</v>
      </c>
      <c r="BG129" s="138">
        <v>7.2999999999999995E-2</v>
      </c>
      <c r="BH129" s="138">
        <v>0.02</v>
      </c>
    </row>
    <row r="130" spans="1:60" ht="14.25" customHeight="1" x14ac:dyDescent="0.2">
      <c r="A130" s="22">
        <v>127</v>
      </c>
      <c r="B130" s="21" t="s">
        <v>226</v>
      </c>
      <c r="C130" s="44"/>
      <c r="D130" s="140">
        <v>44501</v>
      </c>
      <c r="E130" s="1" t="s">
        <v>84</v>
      </c>
      <c r="F130" s="109" t="s">
        <v>62</v>
      </c>
      <c r="G130" s="111" t="s">
        <v>1</v>
      </c>
      <c r="H130" s="1" t="s">
        <v>80</v>
      </c>
      <c r="I130" s="75" t="s">
        <v>83</v>
      </c>
      <c r="J130" s="1" t="s">
        <v>282</v>
      </c>
      <c r="K130" s="1" t="s">
        <v>3</v>
      </c>
      <c r="L130" s="21" t="s">
        <v>0</v>
      </c>
      <c r="M130" s="125">
        <v>55.4</v>
      </c>
      <c r="N130" s="118">
        <v>1.47</v>
      </c>
      <c r="O130" s="25">
        <f t="shared" si="24"/>
        <v>25.637465870702023</v>
      </c>
      <c r="P130" s="1">
        <v>1</v>
      </c>
      <c r="Q130" s="132">
        <v>4.6500000000000004</v>
      </c>
      <c r="R130" s="27">
        <f t="shared" si="25"/>
        <v>0.86021505376344076</v>
      </c>
      <c r="S130" s="1" t="s">
        <v>0</v>
      </c>
      <c r="T130" s="67" t="s">
        <v>0</v>
      </c>
      <c r="U130" s="23" t="str">
        <f t="shared" si="20"/>
        <v>NO</v>
      </c>
      <c r="V130" s="125">
        <v>7.1</v>
      </c>
      <c r="W130" s="23" t="str">
        <f t="shared" si="19"/>
        <v>YES</v>
      </c>
      <c r="X130" s="67" t="s">
        <v>0</v>
      </c>
      <c r="Y130" s="23">
        <f t="shared" si="21"/>
        <v>1</v>
      </c>
      <c r="Z130" s="12">
        <v>4</v>
      </c>
      <c r="AA130" s="28">
        <f t="shared" si="22"/>
        <v>4</v>
      </c>
      <c r="AB130" s="1">
        <v>4</v>
      </c>
      <c r="AC130" s="24">
        <f t="shared" si="23"/>
        <v>12</v>
      </c>
      <c r="AD130" s="118">
        <v>13.85</v>
      </c>
      <c r="AE130" s="6">
        <v>20</v>
      </c>
      <c r="AF130" s="138">
        <v>978.15300000000002</v>
      </c>
      <c r="AG130" s="137">
        <v>1203.95</v>
      </c>
      <c r="AH130" s="32">
        <v>1008</v>
      </c>
      <c r="AI130" s="138">
        <v>1.202</v>
      </c>
      <c r="AJ130" s="138">
        <v>8.3000000000000004E-2</v>
      </c>
      <c r="AK130" s="137">
        <v>8.77</v>
      </c>
      <c r="AL130" s="137">
        <v>1.4</v>
      </c>
      <c r="AM130" s="137">
        <v>45.58</v>
      </c>
      <c r="AN130" s="137">
        <v>3.5</v>
      </c>
      <c r="AO130" s="137">
        <v>16.61</v>
      </c>
      <c r="AP130" s="137">
        <v>1.44</v>
      </c>
      <c r="AQ130" s="137">
        <v>29.02</v>
      </c>
      <c r="AR130" s="137">
        <v>2.14</v>
      </c>
      <c r="AS130" s="137">
        <v>-54.53</v>
      </c>
      <c r="AT130" s="137">
        <v>6.0049999999999999</v>
      </c>
      <c r="AU130" s="137">
        <v>8.65</v>
      </c>
      <c r="AV130" s="137">
        <v>1.5389999999999999</v>
      </c>
      <c r="AW130" s="137">
        <v>50.045999999999999</v>
      </c>
      <c r="AX130" s="137">
        <v>3.367</v>
      </c>
      <c r="AY130" s="138">
        <v>0.86699999999999999</v>
      </c>
      <c r="AZ130" s="138">
        <v>0.113</v>
      </c>
      <c r="BA130" s="138">
        <v>0.99299999999999999</v>
      </c>
      <c r="BB130" s="138">
        <v>9.6000000000000002E-2</v>
      </c>
      <c r="BC130" s="138">
        <v>1.0289999999999999</v>
      </c>
      <c r="BD130" s="138">
        <v>0.10100000000000001</v>
      </c>
      <c r="BE130" s="138">
        <v>1.01</v>
      </c>
      <c r="BF130" s="138">
        <v>9.9000000000000005E-2</v>
      </c>
      <c r="BG130" s="138">
        <v>6.3E-2</v>
      </c>
      <c r="BH130" s="138">
        <v>1.2999999999999999E-2</v>
      </c>
    </row>
    <row r="131" spans="1:60" ht="14.25" customHeight="1" x14ac:dyDescent="0.2">
      <c r="A131" s="22">
        <v>128</v>
      </c>
      <c r="B131" s="21" t="s">
        <v>107</v>
      </c>
      <c r="C131" s="44"/>
      <c r="D131" s="140">
        <v>44531</v>
      </c>
      <c r="E131" s="1" t="s">
        <v>84</v>
      </c>
      <c r="F131" s="109" t="s">
        <v>62</v>
      </c>
      <c r="G131" s="111" t="s">
        <v>8</v>
      </c>
      <c r="H131" s="1" t="s">
        <v>80</v>
      </c>
      <c r="I131" s="75" t="s">
        <v>83</v>
      </c>
      <c r="J131" s="1" t="s">
        <v>282</v>
      </c>
      <c r="K131" s="1" t="s">
        <v>5</v>
      </c>
      <c r="L131" s="21" t="s">
        <v>0</v>
      </c>
      <c r="M131" s="125">
        <v>59.9</v>
      </c>
      <c r="N131" s="118">
        <v>1.58</v>
      </c>
      <c r="O131" s="25">
        <f t="shared" si="24"/>
        <v>23.994552155103346</v>
      </c>
      <c r="P131" s="1">
        <v>1</v>
      </c>
      <c r="Q131" s="132">
        <v>4.37</v>
      </c>
      <c r="R131" s="27">
        <f t="shared" si="25"/>
        <v>0.91533180778032031</v>
      </c>
      <c r="S131" s="1" t="s">
        <v>0</v>
      </c>
      <c r="T131" s="67" t="s">
        <v>0</v>
      </c>
      <c r="U131" s="23" t="str">
        <f t="shared" si="20"/>
        <v>NO</v>
      </c>
      <c r="V131" s="125">
        <v>17.2</v>
      </c>
      <c r="W131" s="23" t="str">
        <f t="shared" si="19"/>
        <v>YES</v>
      </c>
      <c r="X131" s="67" t="s">
        <v>0</v>
      </c>
      <c r="Y131" s="23">
        <f t="shared" si="21"/>
        <v>1</v>
      </c>
      <c r="Z131" s="12">
        <v>3</v>
      </c>
      <c r="AA131" s="28">
        <f t="shared" si="22"/>
        <v>4</v>
      </c>
      <c r="AB131" s="1">
        <v>3</v>
      </c>
      <c r="AC131" s="24">
        <f t="shared" si="23"/>
        <v>10</v>
      </c>
      <c r="AD131" s="118">
        <v>12</v>
      </c>
      <c r="AE131" s="6">
        <v>11</v>
      </c>
      <c r="AF131" s="138">
        <v>909.93399999999997</v>
      </c>
      <c r="AG131" s="137">
        <v>1185.58</v>
      </c>
      <c r="AH131" s="32">
        <v>959</v>
      </c>
      <c r="AI131" s="138">
        <v>1.2509999999999999</v>
      </c>
      <c r="AJ131" s="138">
        <v>7.5999999999999998E-2</v>
      </c>
      <c r="AK131" s="137">
        <v>10.91</v>
      </c>
      <c r="AL131" s="137">
        <v>1.43</v>
      </c>
      <c r="AM131" s="137">
        <v>43.46</v>
      </c>
      <c r="AN131" s="137">
        <v>3.24</v>
      </c>
      <c r="AO131" s="137">
        <v>15.14</v>
      </c>
      <c r="AP131" s="137">
        <v>0.9</v>
      </c>
      <c r="AQ131" s="137">
        <v>30.48</v>
      </c>
      <c r="AR131" s="137">
        <v>2</v>
      </c>
      <c r="AS131" s="137">
        <v>-59.917999999999999</v>
      </c>
      <c r="AT131" s="137">
        <v>5.8090000000000002</v>
      </c>
      <c r="AU131" s="137">
        <v>20.617000000000001</v>
      </c>
      <c r="AV131" s="137">
        <v>3.113</v>
      </c>
      <c r="AW131" s="137">
        <v>48.017000000000003</v>
      </c>
      <c r="AX131" s="137">
        <v>3.0569999999999999</v>
      </c>
      <c r="AY131" s="138">
        <v>0.86399999999999999</v>
      </c>
      <c r="AZ131" s="138">
        <v>0.106</v>
      </c>
      <c r="BA131" s="138">
        <v>0.96299999999999997</v>
      </c>
      <c r="BB131" s="138">
        <v>0.10100000000000001</v>
      </c>
      <c r="BC131" s="138">
        <v>1.069</v>
      </c>
      <c r="BD131" s="138">
        <v>0.10100000000000001</v>
      </c>
      <c r="BE131" s="138">
        <v>0.98799999999999999</v>
      </c>
      <c r="BF131" s="138">
        <v>0.10299999999999999</v>
      </c>
      <c r="BG131" s="138">
        <v>0.34200000000000003</v>
      </c>
      <c r="BH131" s="138">
        <v>8.3000000000000004E-2</v>
      </c>
    </row>
    <row r="132" spans="1:60" ht="14.25" customHeight="1" x14ac:dyDescent="0.2">
      <c r="A132" s="22">
        <v>129</v>
      </c>
      <c r="B132" s="21" t="s">
        <v>227</v>
      </c>
      <c r="C132" s="44"/>
      <c r="D132" s="140">
        <v>44531</v>
      </c>
      <c r="E132" s="1" t="s">
        <v>84</v>
      </c>
      <c r="F132" s="109" t="s">
        <v>62</v>
      </c>
      <c r="G132" s="111" t="s">
        <v>1</v>
      </c>
      <c r="H132" s="1" t="s">
        <v>80</v>
      </c>
      <c r="I132" s="75" t="s">
        <v>83</v>
      </c>
      <c r="J132" s="1" t="s">
        <v>282</v>
      </c>
      <c r="K132" s="1" t="s">
        <v>5</v>
      </c>
      <c r="L132" s="21" t="s">
        <v>0</v>
      </c>
      <c r="M132" s="125">
        <v>61.4</v>
      </c>
      <c r="N132" s="118">
        <v>1.7</v>
      </c>
      <c r="O132" s="25">
        <f t="shared" si="24"/>
        <v>21.245674740484432</v>
      </c>
      <c r="P132" s="1">
        <v>3</v>
      </c>
      <c r="Q132" s="132">
        <v>4.6500000000000004</v>
      </c>
      <c r="R132" s="27">
        <f t="shared" si="25"/>
        <v>0.86021505376344076</v>
      </c>
      <c r="S132" s="1" t="s">
        <v>84</v>
      </c>
      <c r="T132" s="67" t="s">
        <v>0</v>
      </c>
      <c r="U132" s="23" t="str">
        <f t="shared" ref="U132:U166" si="26">IF(AND(K132="M",N132&lt;=1.64),IF(R132&lt;0.5,"YES","NO"),"")  &amp;  IF(AND(K132="M",N132&gt;1.64),IF(R132&lt;0.43,"YES","NO"),"") &amp; IF(AND(K132="F",N132&lt;=1.52),IF(R132&lt;0.41,"YES","NO"),"") &amp; IF(AND(K132="F",N132&gt;1.52),IF(R132&lt;0.33,"YES","NO"),"")</f>
        <v>NO</v>
      </c>
      <c r="V132" s="125">
        <v>15.6</v>
      </c>
      <c r="W132" s="23" t="str">
        <f t="shared" si="19"/>
        <v>YES</v>
      </c>
      <c r="X132" s="67" t="s">
        <v>0</v>
      </c>
      <c r="Y132" s="23">
        <f t="shared" ref="Y132:Y163" si="27">SUM(S132="YES",T132="YES",U132="YES",W132="YES",X132="YES")</f>
        <v>2</v>
      </c>
      <c r="Z132" s="12">
        <v>3</v>
      </c>
      <c r="AA132" s="28">
        <f t="shared" ref="AA132:AA166" si="28">(Q132&lt;&gt;"Incapable")*1+(Q132&lt;8.7)*1+(Q132&lt;6.2)*1+(Q132&lt;4.82)*1</f>
        <v>4</v>
      </c>
      <c r="AB132" s="1">
        <v>1</v>
      </c>
      <c r="AC132" s="24">
        <f t="shared" ref="AC132:AC163" si="29">SUM(Z132:AB132)</f>
        <v>8</v>
      </c>
      <c r="AD132" s="118">
        <v>18</v>
      </c>
      <c r="AE132" s="6">
        <v>19</v>
      </c>
      <c r="AF132" s="138">
        <v>864.23</v>
      </c>
      <c r="AG132" s="137">
        <v>1184.989</v>
      </c>
      <c r="AH132" s="32">
        <v>854</v>
      </c>
      <c r="AI132" s="138">
        <v>1.4059999999999999</v>
      </c>
      <c r="AJ132" s="138">
        <v>0.09</v>
      </c>
      <c r="AK132" s="137">
        <v>10.91</v>
      </c>
      <c r="AL132" s="137">
        <v>1.61</v>
      </c>
      <c r="AM132" s="137">
        <v>43.98</v>
      </c>
      <c r="AN132" s="137">
        <v>3.63</v>
      </c>
      <c r="AO132" s="137">
        <v>16.2</v>
      </c>
      <c r="AP132" s="137">
        <v>1.17</v>
      </c>
      <c r="AQ132" s="137">
        <v>28.96</v>
      </c>
      <c r="AR132" s="137">
        <v>2.5299999999999998</v>
      </c>
      <c r="AS132" s="137">
        <v>-55.161999999999999</v>
      </c>
      <c r="AT132" s="137">
        <v>4.2089999999999996</v>
      </c>
      <c r="AU132" s="137">
        <v>18.181999999999999</v>
      </c>
      <c r="AV132" s="137">
        <v>3.4950000000000001</v>
      </c>
      <c r="AW132" s="137">
        <v>42.725999999999999</v>
      </c>
      <c r="AX132" s="137">
        <v>2.8159999999999998</v>
      </c>
      <c r="AY132" s="138">
        <v>0.79</v>
      </c>
      <c r="AZ132" s="138">
        <v>0.111</v>
      </c>
      <c r="BA132" s="138">
        <v>1.0569999999999999</v>
      </c>
      <c r="BB132" s="138">
        <v>0.123</v>
      </c>
      <c r="BC132" s="138">
        <v>1.0960000000000001</v>
      </c>
      <c r="BD132" s="138">
        <v>0.128</v>
      </c>
      <c r="BE132" s="138">
        <v>1.0649999999999999</v>
      </c>
      <c r="BF132" s="138">
        <v>0.126</v>
      </c>
      <c r="BG132" s="138">
        <v>0.06</v>
      </c>
      <c r="BH132" s="138">
        <v>1.4999999999999999E-2</v>
      </c>
    </row>
    <row r="133" spans="1:60" ht="14.25" customHeight="1" x14ac:dyDescent="0.2">
      <c r="A133" s="22">
        <v>130</v>
      </c>
      <c r="B133" s="21" t="s">
        <v>228</v>
      </c>
      <c r="C133" s="44"/>
      <c r="D133" s="140">
        <v>44531</v>
      </c>
      <c r="E133" s="1" t="s">
        <v>84</v>
      </c>
      <c r="F133" s="109" t="s">
        <v>62</v>
      </c>
      <c r="G133" s="111" t="s">
        <v>6</v>
      </c>
      <c r="H133" s="1" t="s">
        <v>80</v>
      </c>
      <c r="I133" s="75" t="s">
        <v>83</v>
      </c>
      <c r="J133" s="1" t="s">
        <v>282</v>
      </c>
      <c r="K133" s="1" t="s">
        <v>3</v>
      </c>
      <c r="L133" s="21" t="s">
        <v>0</v>
      </c>
      <c r="M133" s="125">
        <v>79.5</v>
      </c>
      <c r="N133" s="118">
        <v>1.54</v>
      </c>
      <c r="O133" s="25">
        <f t="shared" ref="O133:O144" si="30">IFERROR(M133/(N133^2),"--")</f>
        <v>33.521673132062745</v>
      </c>
      <c r="P133" s="1">
        <v>1</v>
      </c>
      <c r="Q133" s="132">
        <v>4.5999999999999996</v>
      </c>
      <c r="R133" s="27">
        <f t="shared" ref="R133:R144" si="31">IFERROR(4/Q133,"--")</f>
        <v>0.86956521739130443</v>
      </c>
      <c r="S133" s="1" t="s">
        <v>0</v>
      </c>
      <c r="T133" s="67" t="s">
        <v>0</v>
      </c>
      <c r="U133" s="23" t="str">
        <f t="shared" si="26"/>
        <v>NO</v>
      </c>
      <c r="V133" s="125">
        <v>15.5</v>
      </c>
      <c r="W133" s="23" t="str">
        <f t="shared" ref="W133:W166" si="32">IF(OR(V133="Incapable",V133="-"),"-",IF(AND(K133="M",O133&lt;=26.4),IF(V133&lt;=19.1,"YES","NO"),"") &amp;  IF(AND(K133="M",O133&gt;26.4),IF(V133&lt;=22.9,"YES","NO"),"")  &amp; IF(AND(K133="F",O133&lt;=26.4),IF(V133&lt;11,"YES","NO"),"") &amp; IF(AND(K133="F",O133&gt;26.4),IF(V133&lt;12,"YES","NO"),""))</f>
        <v>NO</v>
      </c>
      <c r="X133" s="67" t="s">
        <v>0</v>
      </c>
      <c r="Y133" s="23">
        <f t="shared" si="27"/>
        <v>0</v>
      </c>
      <c r="Z133" s="12">
        <v>3</v>
      </c>
      <c r="AA133" s="28">
        <f t="shared" si="28"/>
        <v>4</v>
      </c>
      <c r="AB133" s="1">
        <v>4</v>
      </c>
      <c r="AC133" s="24">
        <f t="shared" si="29"/>
        <v>11</v>
      </c>
      <c r="AD133" s="118">
        <v>10.87</v>
      </c>
      <c r="AE133" s="6">
        <v>7</v>
      </c>
      <c r="AF133" s="138">
        <v>1248.8810000000001</v>
      </c>
      <c r="AG133" s="137">
        <v>1482.962</v>
      </c>
      <c r="AH133" s="32">
        <v>1291</v>
      </c>
      <c r="AI133" s="138">
        <v>1.1559999999999999</v>
      </c>
      <c r="AJ133" s="138">
        <v>4.7E-2</v>
      </c>
      <c r="AK133" s="137">
        <v>15.39</v>
      </c>
      <c r="AL133" s="137">
        <v>1.35</v>
      </c>
      <c r="AM133" s="137">
        <v>41.48</v>
      </c>
      <c r="AN133" s="137">
        <v>2.2999999999999998</v>
      </c>
      <c r="AO133" s="137">
        <v>15.3</v>
      </c>
      <c r="AP133" s="137">
        <v>0.82</v>
      </c>
      <c r="AQ133" s="137">
        <v>27.77</v>
      </c>
      <c r="AR133" s="137">
        <v>1.37</v>
      </c>
      <c r="AS133" s="137">
        <v>-51.155000000000001</v>
      </c>
      <c r="AT133" s="137">
        <v>3.5110000000000001</v>
      </c>
      <c r="AU133" s="137">
        <v>24.501999999999999</v>
      </c>
      <c r="AV133" s="137">
        <v>2.052</v>
      </c>
      <c r="AW133" s="137">
        <v>51.901000000000003</v>
      </c>
      <c r="AX133" s="137">
        <v>2.371</v>
      </c>
      <c r="AY133" s="138">
        <v>0.90100000000000002</v>
      </c>
      <c r="AZ133" s="138">
        <v>7.5999999999999998E-2</v>
      </c>
      <c r="BA133" s="138">
        <v>0.98299999999999998</v>
      </c>
      <c r="BB133" s="138">
        <v>7.2999999999999995E-2</v>
      </c>
      <c r="BC133" s="138">
        <v>1.034</v>
      </c>
      <c r="BD133" s="138">
        <v>7.5999999999999998E-2</v>
      </c>
      <c r="BE133" s="138">
        <v>0.99299999999999999</v>
      </c>
      <c r="BF133" s="138">
        <v>7.2999999999999995E-2</v>
      </c>
      <c r="BG133" s="138">
        <v>9.0999999999999998E-2</v>
      </c>
      <c r="BH133" s="138">
        <v>2.1999999999999999E-2</v>
      </c>
    </row>
    <row r="134" spans="1:60" ht="14.25" customHeight="1" x14ac:dyDescent="0.2">
      <c r="A134" s="22">
        <v>131</v>
      </c>
      <c r="B134" s="21" t="s">
        <v>229</v>
      </c>
      <c r="C134" s="44"/>
      <c r="D134" s="140">
        <v>44531</v>
      </c>
      <c r="E134" s="1" t="s">
        <v>84</v>
      </c>
      <c r="F134" s="109" t="s">
        <v>62</v>
      </c>
      <c r="G134" s="111" t="s">
        <v>8</v>
      </c>
      <c r="H134" s="1" t="s">
        <v>80</v>
      </c>
      <c r="I134" s="75" t="s">
        <v>83</v>
      </c>
      <c r="J134" s="1" t="s">
        <v>283</v>
      </c>
      <c r="K134" s="1" t="s">
        <v>3</v>
      </c>
      <c r="L134" s="21" t="s">
        <v>0</v>
      </c>
      <c r="M134" s="125">
        <v>72.3</v>
      </c>
      <c r="N134" s="118">
        <v>1.5</v>
      </c>
      <c r="O134" s="25">
        <f t="shared" si="30"/>
        <v>32.133333333333333</v>
      </c>
      <c r="P134" s="1">
        <v>3</v>
      </c>
      <c r="Q134" s="132">
        <v>5.53</v>
      </c>
      <c r="R134" s="27">
        <f t="shared" si="31"/>
        <v>0.72332730560578662</v>
      </c>
      <c r="S134" s="1" t="s">
        <v>84</v>
      </c>
      <c r="T134" s="67" t="s">
        <v>84</v>
      </c>
      <c r="U134" s="23" t="str">
        <f t="shared" si="26"/>
        <v>NO</v>
      </c>
      <c r="V134" s="125">
        <v>11.3</v>
      </c>
      <c r="W134" s="23" t="str">
        <f t="shared" si="32"/>
        <v>YES</v>
      </c>
      <c r="X134" s="67" t="s">
        <v>84</v>
      </c>
      <c r="Y134" s="23">
        <f t="shared" si="27"/>
        <v>4</v>
      </c>
      <c r="Z134" s="12">
        <v>2</v>
      </c>
      <c r="AA134" s="28">
        <f t="shared" si="28"/>
        <v>3</v>
      </c>
      <c r="AB134" s="1">
        <v>3</v>
      </c>
      <c r="AC134" s="24">
        <f t="shared" si="29"/>
        <v>8</v>
      </c>
      <c r="AD134" s="118">
        <v>22.64</v>
      </c>
      <c r="AE134" s="6">
        <v>21</v>
      </c>
      <c r="AF134" s="138">
        <v>644.37</v>
      </c>
      <c r="AG134" s="137">
        <v>903.60900000000004</v>
      </c>
      <c r="AH134" s="32">
        <v>944</v>
      </c>
      <c r="AI134" s="138">
        <v>0.97699999999999998</v>
      </c>
      <c r="AJ134" s="138">
        <v>7.9000000000000001E-2</v>
      </c>
      <c r="AK134" s="137">
        <v>10.84</v>
      </c>
      <c r="AL134" s="137">
        <v>1.51</v>
      </c>
      <c r="AM134" s="137">
        <v>45.14</v>
      </c>
      <c r="AN134" s="137">
        <v>4.0199999999999996</v>
      </c>
      <c r="AO134" s="137">
        <v>15.47</v>
      </c>
      <c r="AP134" s="137">
        <v>1.38</v>
      </c>
      <c r="AQ134" s="137">
        <v>28.52</v>
      </c>
      <c r="AR134" s="137">
        <v>2.83</v>
      </c>
      <c r="AS134" s="137">
        <v>-37.656999999999996</v>
      </c>
      <c r="AT134" s="137">
        <v>4.5789999999999997</v>
      </c>
      <c r="AU134" s="137">
        <v>15.032</v>
      </c>
      <c r="AV134" s="137">
        <v>3.02</v>
      </c>
      <c r="AW134" s="137">
        <v>61.372999999999998</v>
      </c>
      <c r="AX134" s="137">
        <v>5.6660000000000004</v>
      </c>
      <c r="AY134" s="138">
        <v>0.78100000000000003</v>
      </c>
      <c r="AZ134" s="138">
        <v>0.1</v>
      </c>
      <c r="BA134" s="138">
        <v>0.73599999999999999</v>
      </c>
      <c r="BB134" s="138">
        <v>8.5000000000000006E-2</v>
      </c>
      <c r="BC134" s="138">
        <v>0.76100000000000001</v>
      </c>
      <c r="BD134" s="138">
        <v>9.0999999999999998E-2</v>
      </c>
      <c r="BE134" s="138">
        <v>0.74199999999999999</v>
      </c>
      <c r="BF134" s="138">
        <v>8.7999999999999995E-2</v>
      </c>
      <c r="BG134" s="138">
        <v>5.6000000000000001E-2</v>
      </c>
      <c r="BH134" s="138">
        <v>1.6E-2</v>
      </c>
    </row>
    <row r="135" spans="1:60" ht="14.25" customHeight="1" x14ac:dyDescent="0.2">
      <c r="A135" s="22">
        <v>132</v>
      </c>
      <c r="B135" s="21" t="s">
        <v>230</v>
      </c>
      <c r="C135" s="44"/>
      <c r="D135" s="140">
        <v>44531</v>
      </c>
      <c r="E135" s="1" t="s">
        <v>84</v>
      </c>
      <c r="F135" s="109" t="s">
        <v>62</v>
      </c>
      <c r="G135" s="111" t="s">
        <v>6</v>
      </c>
      <c r="H135" s="1" t="s">
        <v>80</v>
      </c>
      <c r="I135" s="75" t="s">
        <v>83</v>
      </c>
      <c r="J135" s="1" t="s">
        <v>279</v>
      </c>
      <c r="K135" s="1" t="s">
        <v>5</v>
      </c>
      <c r="L135" s="21" t="s">
        <v>0</v>
      </c>
      <c r="M135" s="125">
        <v>78</v>
      </c>
      <c r="N135" s="118">
        <v>1.59</v>
      </c>
      <c r="O135" s="25">
        <f t="shared" si="30"/>
        <v>30.853209920493647</v>
      </c>
      <c r="P135" s="1">
        <v>1</v>
      </c>
      <c r="Q135" s="132">
        <v>4.62</v>
      </c>
      <c r="R135" s="27">
        <f t="shared" si="31"/>
        <v>0.86580086580086579</v>
      </c>
      <c r="S135" s="1" t="s">
        <v>0</v>
      </c>
      <c r="T135" s="67" t="s">
        <v>0</v>
      </c>
      <c r="U135" s="23" t="str">
        <f t="shared" si="26"/>
        <v>NO</v>
      </c>
      <c r="V135" s="125">
        <v>19.7</v>
      </c>
      <c r="W135" s="23" t="str">
        <f t="shared" si="32"/>
        <v>YES</v>
      </c>
      <c r="X135" s="67" t="s">
        <v>0</v>
      </c>
      <c r="Y135" s="23">
        <f t="shared" si="27"/>
        <v>1</v>
      </c>
      <c r="Z135" s="12">
        <v>2</v>
      </c>
      <c r="AA135" s="28">
        <f t="shared" si="28"/>
        <v>4</v>
      </c>
      <c r="AB135" s="1">
        <v>3</v>
      </c>
      <c r="AC135" s="24">
        <f t="shared" si="29"/>
        <v>9</v>
      </c>
      <c r="AD135" s="118">
        <v>14.47</v>
      </c>
      <c r="AE135" s="6">
        <v>10</v>
      </c>
      <c r="AF135" s="138">
        <v>920.16899999999998</v>
      </c>
      <c r="AG135" s="137">
        <v>1243.6410000000001</v>
      </c>
      <c r="AH135" s="32">
        <v>1049</v>
      </c>
      <c r="AI135" s="138">
        <v>1.2050000000000001</v>
      </c>
      <c r="AJ135" s="138">
        <v>9.6000000000000002E-2</v>
      </c>
      <c r="AK135" s="137">
        <v>12.54</v>
      </c>
      <c r="AL135" s="137">
        <v>1.97</v>
      </c>
      <c r="AM135" s="137">
        <v>42.9</v>
      </c>
      <c r="AN135" s="137">
        <v>4.55</v>
      </c>
      <c r="AO135" s="137">
        <v>17.399999999999999</v>
      </c>
      <c r="AP135" s="137">
        <v>2.4700000000000002</v>
      </c>
      <c r="AQ135" s="137">
        <v>27.2</v>
      </c>
      <c r="AR135" s="137">
        <v>2.67</v>
      </c>
      <c r="AS135" s="137">
        <v>-29.585999999999999</v>
      </c>
      <c r="AT135" s="137">
        <v>4.4109999999999996</v>
      </c>
      <c r="AU135" s="137">
        <v>14.500999999999999</v>
      </c>
      <c r="AV135" s="137">
        <v>3.3039999999999998</v>
      </c>
      <c r="AW135" s="137">
        <v>49.941000000000003</v>
      </c>
      <c r="AX135" s="137">
        <v>4.0819999999999999</v>
      </c>
      <c r="AY135" s="138">
        <v>0.79900000000000004</v>
      </c>
      <c r="AZ135" s="138">
        <v>0.13</v>
      </c>
      <c r="BA135" s="138">
        <v>0.90500000000000003</v>
      </c>
      <c r="BB135" s="138">
        <v>0.11899999999999999</v>
      </c>
      <c r="BC135" s="138">
        <v>0.94899999999999995</v>
      </c>
      <c r="BD135" s="138">
        <v>0.128</v>
      </c>
      <c r="BE135" s="138">
        <v>0.91400000000000003</v>
      </c>
      <c r="BF135" s="138">
        <v>0.121</v>
      </c>
      <c r="BG135" s="138">
        <v>7.4999999999999997E-2</v>
      </c>
      <c r="BH135" s="138">
        <v>2.1999999999999999E-2</v>
      </c>
    </row>
    <row r="136" spans="1:60" ht="14.25" customHeight="1" x14ac:dyDescent="0.2">
      <c r="A136" s="22">
        <v>133</v>
      </c>
      <c r="B136" s="21" t="s">
        <v>231</v>
      </c>
      <c r="C136" s="44"/>
      <c r="D136" s="140">
        <v>44531</v>
      </c>
      <c r="E136" s="1" t="s">
        <v>0</v>
      </c>
      <c r="F136" s="109" t="s">
        <v>62</v>
      </c>
      <c r="G136" s="111" t="s">
        <v>8</v>
      </c>
      <c r="H136" s="1" t="s">
        <v>80</v>
      </c>
      <c r="I136" s="75" t="s">
        <v>83</v>
      </c>
      <c r="J136" s="1" t="s">
        <v>279</v>
      </c>
      <c r="K136" s="1" t="s">
        <v>3</v>
      </c>
      <c r="L136" s="21" t="s">
        <v>0</v>
      </c>
      <c r="M136" s="125">
        <v>66.400000000000006</v>
      </c>
      <c r="N136" s="118">
        <v>1.57</v>
      </c>
      <c r="O136" s="25">
        <f t="shared" si="30"/>
        <v>26.938212503549842</v>
      </c>
      <c r="P136" s="1">
        <v>1</v>
      </c>
      <c r="Q136" s="132">
        <v>3.79</v>
      </c>
      <c r="R136" s="27">
        <f t="shared" si="31"/>
        <v>1.0554089709762533</v>
      </c>
      <c r="S136" s="1" t="s">
        <v>0</v>
      </c>
      <c r="T136" s="67" t="s">
        <v>0</v>
      </c>
      <c r="U136" s="23" t="str">
        <f t="shared" si="26"/>
        <v>NO</v>
      </c>
      <c r="V136" s="125">
        <v>16</v>
      </c>
      <c r="W136" s="23" t="str">
        <f t="shared" si="32"/>
        <v>NO</v>
      </c>
      <c r="X136" s="67" t="s">
        <v>0</v>
      </c>
      <c r="Y136" s="23">
        <f t="shared" si="27"/>
        <v>0</v>
      </c>
      <c r="Z136" s="12">
        <v>4</v>
      </c>
      <c r="AA136" s="28">
        <f t="shared" si="28"/>
        <v>4</v>
      </c>
      <c r="AB136" s="1">
        <v>4</v>
      </c>
      <c r="AC136" s="24">
        <f t="shared" si="29"/>
        <v>12</v>
      </c>
      <c r="AD136" s="118">
        <v>10.58</v>
      </c>
      <c r="AE136" s="6">
        <v>7</v>
      </c>
      <c r="AF136" s="138">
        <v>950.29600000000005</v>
      </c>
      <c r="AG136" s="137">
        <v>1250.9179999999999</v>
      </c>
      <c r="AH136" s="32">
        <v>1106</v>
      </c>
      <c r="AI136" s="138">
        <v>1.149</v>
      </c>
      <c r="AJ136" s="138">
        <v>9.5000000000000001E-2</v>
      </c>
      <c r="AK136" s="137">
        <v>9.99</v>
      </c>
      <c r="AL136" s="137">
        <v>1.51</v>
      </c>
      <c r="AM136" s="137">
        <v>46.54</v>
      </c>
      <c r="AN136" s="137">
        <v>4.03</v>
      </c>
      <c r="AO136" s="137">
        <v>15.16</v>
      </c>
      <c r="AP136" s="137">
        <v>1.35</v>
      </c>
      <c r="AQ136" s="137">
        <v>28.32</v>
      </c>
      <c r="AR136" s="137">
        <v>2.17</v>
      </c>
      <c r="AS136" s="137">
        <v>-45.462000000000003</v>
      </c>
      <c r="AT136" s="137">
        <v>5.641</v>
      </c>
      <c r="AU136" s="137">
        <v>14.795999999999999</v>
      </c>
      <c r="AV136" s="137">
        <v>2.6230000000000002</v>
      </c>
      <c r="AW136" s="137">
        <v>52.28</v>
      </c>
      <c r="AX136" s="137">
        <v>4.5030000000000001</v>
      </c>
      <c r="AY136" s="138">
        <v>0.82599999999999996</v>
      </c>
      <c r="AZ136" s="138">
        <v>0.13100000000000001</v>
      </c>
      <c r="BA136" s="138">
        <v>0.89200000000000002</v>
      </c>
      <c r="BB136" s="138">
        <v>0.11799999999999999</v>
      </c>
      <c r="BC136" s="138">
        <v>0.93600000000000005</v>
      </c>
      <c r="BD136" s="138">
        <v>0.121</v>
      </c>
      <c r="BE136" s="138">
        <v>0.90600000000000003</v>
      </c>
      <c r="BF136" s="138">
        <v>0.11600000000000001</v>
      </c>
      <c r="BG136" s="138">
        <v>6.9000000000000006E-2</v>
      </c>
      <c r="BH136" s="138">
        <v>1.9E-2</v>
      </c>
    </row>
    <row r="137" spans="1:60" ht="14.25" customHeight="1" x14ac:dyDescent="0.2">
      <c r="A137" s="22">
        <v>134</v>
      </c>
      <c r="B137" s="21" t="s">
        <v>232</v>
      </c>
      <c r="C137" s="44"/>
      <c r="D137" s="140">
        <v>44562</v>
      </c>
      <c r="E137" s="1" t="s">
        <v>84</v>
      </c>
      <c r="F137" s="109" t="s">
        <v>62</v>
      </c>
      <c r="G137" s="111" t="s">
        <v>6</v>
      </c>
      <c r="H137" s="1" t="s">
        <v>80</v>
      </c>
      <c r="I137" s="75" t="s">
        <v>83</v>
      </c>
      <c r="J137" s="1" t="s">
        <v>280</v>
      </c>
      <c r="K137" s="1" t="s">
        <v>3</v>
      </c>
      <c r="L137" s="21" t="s">
        <v>0</v>
      </c>
      <c r="M137" s="125">
        <v>60</v>
      </c>
      <c r="N137" s="118">
        <v>1.42</v>
      </c>
      <c r="O137" s="25">
        <f t="shared" si="30"/>
        <v>29.756000793493357</v>
      </c>
      <c r="P137" s="1">
        <v>1</v>
      </c>
      <c r="Q137" s="132">
        <v>6.65</v>
      </c>
      <c r="R137" s="27">
        <f t="shared" si="31"/>
        <v>0.60150375939849621</v>
      </c>
      <c r="S137" s="1" t="s">
        <v>0</v>
      </c>
      <c r="T137" s="67" t="s">
        <v>84</v>
      </c>
      <c r="U137" s="23" t="str">
        <f t="shared" si="26"/>
        <v>NO</v>
      </c>
      <c r="V137" s="125">
        <v>15.2</v>
      </c>
      <c r="W137" s="23" t="str">
        <f t="shared" si="32"/>
        <v>NO</v>
      </c>
      <c r="X137" s="67" t="s">
        <v>0</v>
      </c>
      <c r="Y137" s="23">
        <f t="shared" si="27"/>
        <v>1</v>
      </c>
      <c r="Z137" s="12">
        <v>1</v>
      </c>
      <c r="AA137" s="28">
        <f t="shared" si="28"/>
        <v>2</v>
      </c>
      <c r="AB137" s="1">
        <v>0</v>
      </c>
      <c r="AC137" s="24">
        <f t="shared" si="29"/>
        <v>3</v>
      </c>
      <c r="AD137" s="118">
        <v>25.97</v>
      </c>
      <c r="AE137" s="6">
        <v>13</v>
      </c>
      <c r="AF137" s="138">
        <v>469.363</v>
      </c>
      <c r="AG137" s="137">
        <v>1034.232</v>
      </c>
      <c r="AH137" s="32">
        <v>790</v>
      </c>
      <c r="AI137" s="138">
        <v>1.3280000000000001</v>
      </c>
      <c r="AJ137" s="138">
        <v>0.122</v>
      </c>
      <c r="AK137" s="137">
        <v>9.4</v>
      </c>
      <c r="AL137" s="137">
        <v>1.99</v>
      </c>
      <c r="AM137" s="137">
        <v>50.04</v>
      </c>
      <c r="AN137" s="137">
        <v>5.99</v>
      </c>
      <c r="AO137" s="137">
        <v>15.18</v>
      </c>
      <c r="AP137" s="137">
        <v>2.0499999999999998</v>
      </c>
      <c r="AQ137" s="137">
        <v>25.44</v>
      </c>
      <c r="AR137" s="137">
        <v>3.43</v>
      </c>
      <c r="AS137" s="137">
        <v>-46.997999999999998</v>
      </c>
      <c r="AT137" s="137">
        <v>7.3410000000000002</v>
      </c>
      <c r="AU137" s="137">
        <v>8.4049999999999994</v>
      </c>
      <c r="AV137" s="137">
        <v>2.198</v>
      </c>
      <c r="AW137" s="137">
        <v>45.405000000000001</v>
      </c>
      <c r="AX137" s="137">
        <v>4.32</v>
      </c>
      <c r="AY137" s="138">
        <v>0.51400000000000001</v>
      </c>
      <c r="AZ137" s="138">
        <v>0.10100000000000001</v>
      </c>
      <c r="BA137" s="138">
        <v>0.64300000000000002</v>
      </c>
      <c r="BB137" s="138">
        <v>0.12</v>
      </c>
      <c r="BC137" s="138">
        <v>0.67400000000000004</v>
      </c>
      <c r="BD137" s="138">
        <v>0.126</v>
      </c>
      <c r="BE137" s="138">
        <v>0.65400000000000003</v>
      </c>
      <c r="BF137" s="138">
        <v>0.121</v>
      </c>
      <c r="BG137" s="138">
        <v>4.8000000000000001E-2</v>
      </c>
      <c r="BH137" s="138">
        <v>1.2999999999999999E-2</v>
      </c>
    </row>
    <row r="138" spans="1:60" ht="14.25" customHeight="1" x14ac:dyDescent="0.2">
      <c r="A138" s="22">
        <v>135</v>
      </c>
      <c r="B138" s="21" t="s">
        <v>233</v>
      </c>
      <c r="C138" s="44"/>
      <c r="D138" s="140">
        <v>44518</v>
      </c>
      <c r="E138" s="1" t="s">
        <v>84</v>
      </c>
      <c r="F138" s="109" t="s">
        <v>85</v>
      </c>
      <c r="G138" s="111">
        <v>185</v>
      </c>
      <c r="H138" s="1" t="s">
        <v>81</v>
      </c>
      <c r="I138" s="75" t="s">
        <v>83</v>
      </c>
      <c r="J138" s="1" t="s">
        <v>282</v>
      </c>
      <c r="K138" s="1" t="s">
        <v>3</v>
      </c>
      <c r="L138" s="21" t="s">
        <v>84</v>
      </c>
      <c r="M138" s="125">
        <v>66.3</v>
      </c>
      <c r="N138" s="118">
        <v>1.43</v>
      </c>
      <c r="O138" s="25">
        <f t="shared" si="30"/>
        <v>32.422123331214245</v>
      </c>
      <c r="P138" s="1">
        <v>2</v>
      </c>
      <c r="Q138" s="132">
        <v>13</v>
      </c>
      <c r="R138" s="27">
        <f t="shared" si="31"/>
        <v>0.30769230769230771</v>
      </c>
      <c r="S138" s="1" t="s">
        <v>84</v>
      </c>
      <c r="T138" s="67" t="s">
        <v>0</v>
      </c>
      <c r="U138" s="23" t="str">
        <f t="shared" si="26"/>
        <v>YES</v>
      </c>
      <c r="V138" s="125">
        <v>12.8</v>
      </c>
      <c r="W138" s="23" t="str">
        <f t="shared" si="32"/>
        <v>NO</v>
      </c>
      <c r="X138" s="67" t="s">
        <v>0</v>
      </c>
      <c r="Y138" s="23">
        <f t="shared" si="27"/>
        <v>2</v>
      </c>
      <c r="Z138" s="12">
        <v>1</v>
      </c>
      <c r="AA138" s="28">
        <f t="shared" si="28"/>
        <v>1</v>
      </c>
      <c r="AB138" s="1">
        <v>1</v>
      </c>
      <c r="AC138" s="24">
        <f t="shared" si="29"/>
        <v>3</v>
      </c>
      <c r="AD138" s="118">
        <v>36</v>
      </c>
      <c r="AE138" s="6">
        <v>10</v>
      </c>
      <c r="AF138" s="138">
        <v>234.91800000000001</v>
      </c>
      <c r="AG138" s="137">
        <v>722.85199999999998</v>
      </c>
      <c r="AH138" s="32">
        <v>471</v>
      </c>
      <c r="AI138" s="138">
        <v>1.5509999999999999</v>
      </c>
      <c r="AJ138" s="138">
        <v>0.13700000000000001</v>
      </c>
      <c r="AK138" s="137">
        <v>6.28</v>
      </c>
      <c r="AL138" s="137">
        <v>0.88</v>
      </c>
      <c r="AM138" s="137">
        <v>55.4</v>
      </c>
      <c r="AN138" s="137">
        <v>5.31</v>
      </c>
      <c r="AO138" s="137">
        <v>17.440000000000001</v>
      </c>
      <c r="AP138" s="137">
        <v>2.12</v>
      </c>
      <c r="AQ138" s="137">
        <v>22.86</v>
      </c>
      <c r="AR138" s="137">
        <v>3.17</v>
      </c>
      <c r="AS138" s="137">
        <v>-41.067</v>
      </c>
      <c r="AT138" s="137">
        <v>5.6890000000000001</v>
      </c>
      <c r="AU138" s="137">
        <v>3.0790000000000002</v>
      </c>
      <c r="AV138" s="137">
        <v>0.66100000000000003</v>
      </c>
      <c r="AW138" s="137">
        <v>38.802</v>
      </c>
      <c r="AX138" s="137">
        <v>3.5710000000000002</v>
      </c>
      <c r="AY138" s="138">
        <v>0.36599999999999999</v>
      </c>
      <c r="AZ138" s="138">
        <v>6.5000000000000002E-2</v>
      </c>
      <c r="BA138" s="138">
        <v>0.52600000000000002</v>
      </c>
      <c r="BB138" s="138">
        <v>8.5000000000000006E-2</v>
      </c>
      <c r="BC138" s="138">
        <v>0.55700000000000005</v>
      </c>
      <c r="BD138" s="138">
        <v>8.7999999999999995E-2</v>
      </c>
      <c r="BE138" s="138">
        <v>0.54</v>
      </c>
      <c r="BF138" s="138">
        <v>8.5999999999999993E-2</v>
      </c>
      <c r="BG138" s="138">
        <v>4.3999999999999997E-2</v>
      </c>
      <c r="BH138" s="138">
        <v>1.2E-2</v>
      </c>
    </row>
    <row r="139" spans="1:60" ht="14.25" customHeight="1" x14ac:dyDescent="0.2">
      <c r="A139" s="22">
        <v>136</v>
      </c>
      <c r="B139" s="21" t="s">
        <v>234</v>
      </c>
      <c r="C139" s="44"/>
      <c r="D139" s="140">
        <v>44518</v>
      </c>
      <c r="E139" s="1" t="s">
        <v>0</v>
      </c>
      <c r="F139" s="109" t="s">
        <v>85</v>
      </c>
      <c r="G139" s="111">
        <v>185</v>
      </c>
      <c r="H139" s="1" t="s">
        <v>81</v>
      </c>
      <c r="I139" s="75" t="s">
        <v>83</v>
      </c>
      <c r="J139" s="1" t="s">
        <v>282</v>
      </c>
      <c r="K139" s="1" t="s">
        <v>3</v>
      </c>
      <c r="L139" s="21" t="s">
        <v>84</v>
      </c>
      <c r="M139" s="125">
        <v>54.9</v>
      </c>
      <c r="N139" s="118">
        <v>1.56</v>
      </c>
      <c r="O139" s="25">
        <f t="shared" si="30"/>
        <v>22.559171597633135</v>
      </c>
      <c r="P139" s="1">
        <v>1</v>
      </c>
      <c r="Q139" s="132">
        <v>12</v>
      </c>
      <c r="R139" s="27">
        <f t="shared" si="31"/>
        <v>0.33333333333333331</v>
      </c>
      <c r="S139" s="1" t="s">
        <v>0</v>
      </c>
      <c r="T139" s="67" t="s">
        <v>0</v>
      </c>
      <c r="U139" s="23" t="str">
        <f t="shared" si="26"/>
        <v>NO</v>
      </c>
      <c r="V139" s="125">
        <v>12.2</v>
      </c>
      <c r="W139" s="23" t="str">
        <f t="shared" si="32"/>
        <v>NO</v>
      </c>
      <c r="X139" s="67" t="s">
        <v>0</v>
      </c>
      <c r="Y139" s="23">
        <f t="shared" si="27"/>
        <v>0</v>
      </c>
      <c r="Z139" s="12">
        <v>2</v>
      </c>
      <c r="AA139" s="28">
        <f t="shared" si="28"/>
        <v>1</v>
      </c>
      <c r="AB139" s="1">
        <v>3</v>
      </c>
      <c r="AC139" s="24">
        <f t="shared" si="29"/>
        <v>6</v>
      </c>
      <c r="AD139" s="118">
        <v>23.5</v>
      </c>
      <c r="AE139" s="6">
        <v>12</v>
      </c>
      <c r="AF139" s="138">
        <v>649.16700000000003</v>
      </c>
      <c r="AG139" s="137">
        <v>1284.68</v>
      </c>
      <c r="AH139" s="32">
        <v>1053</v>
      </c>
      <c r="AI139" s="138">
        <v>1.238</v>
      </c>
      <c r="AJ139" s="138">
        <v>9.8000000000000004E-2</v>
      </c>
      <c r="AK139" s="137">
        <v>6.54</v>
      </c>
      <c r="AL139" s="137">
        <v>0.97</v>
      </c>
      <c r="AM139" s="137">
        <v>52.87</v>
      </c>
      <c r="AN139" s="137">
        <v>4.12</v>
      </c>
      <c r="AO139" s="137">
        <v>14.27</v>
      </c>
      <c r="AP139" s="137">
        <v>1.43</v>
      </c>
      <c r="AQ139" s="137">
        <v>27.22</v>
      </c>
      <c r="AR139" s="137">
        <v>2.5499999999999998</v>
      </c>
      <c r="AS139" s="137">
        <v>-44.545000000000002</v>
      </c>
      <c r="AT139" s="137">
        <v>4.6440000000000001</v>
      </c>
      <c r="AU139" s="137">
        <v>3.9870000000000001</v>
      </c>
      <c r="AV139" s="137">
        <v>0.78800000000000003</v>
      </c>
      <c r="AW139" s="137">
        <v>48.625999999999998</v>
      </c>
      <c r="AX139" s="137">
        <v>3.9670000000000001</v>
      </c>
      <c r="AY139" s="138">
        <v>0.57099999999999995</v>
      </c>
      <c r="AZ139" s="138">
        <v>8.2000000000000003E-2</v>
      </c>
      <c r="BA139" s="138">
        <v>0.63800000000000001</v>
      </c>
      <c r="BB139" s="138">
        <v>7.4999999999999997E-2</v>
      </c>
      <c r="BC139" s="138">
        <v>0.69499999999999995</v>
      </c>
      <c r="BD139" s="138">
        <v>0.08</v>
      </c>
      <c r="BE139" s="138">
        <v>0.67</v>
      </c>
      <c r="BF139" s="138">
        <v>7.6999999999999999E-2</v>
      </c>
      <c r="BG139" s="138">
        <v>0.08</v>
      </c>
      <c r="BH139" s="138">
        <v>2.4E-2</v>
      </c>
    </row>
    <row r="140" spans="1:60" ht="14.25" customHeight="1" x14ac:dyDescent="0.2">
      <c r="A140" s="22">
        <v>137</v>
      </c>
      <c r="B140" s="21" t="s">
        <v>235</v>
      </c>
      <c r="C140" s="44"/>
      <c r="D140" s="140">
        <v>44518</v>
      </c>
      <c r="E140" s="1" t="s">
        <v>0</v>
      </c>
      <c r="F140" s="109" t="s">
        <v>85</v>
      </c>
      <c r="G140" s="111">
        <v>185</v>
      </c>
      <c r="H140" s="1" t="s">
        <v>81</v>
      </c>
      <c r="I140" s="75" t="s">
        <v>83</v>
      </c>
      <c r="J140" s="1" t="s">
        <v>283</v>
      </c>
      <c r="K140" s="1" t="s">
        <v>5</v>
      </c>
      <c r="L140" s="21" t="s">
        <v>84</v>
      </c>
      <c r="M140" s="125">
        <v>73.2</v>
      </c>
      <c r="N140" s="118">
        <v>1.67</v>
      </c>
      <c r="O140" s="25">
        <f t="shared" si="30"/>
        <v>26.246907382839115</v>
      </c>
      <c r="P140" s="1">
        <v>4</v>
      </c>
      <c r="Q140" s="132">
        <v>8.9</v>
      </c>
      <c r="R140" s="27">
        <f t="shared" si="31"/>
        <v>0.449438202247191</v>
      </c>
      <c r="S140" s="1" t="s">
        <v>0</v>
      </c>
      <c r="T140" s="67" t="s">
        <v>84</v>
      </c>
      <c r="U140" s="23" t="str">
        <f t="shared" si="26"/>
        <v>NO</v>
      </c>
      <c r="V140" s="125">
        <v>23.3</v>
      </c>
      <c r="W140" s="23" t="str">
        <f t="shared" si="32"/>
        <v>NO</v>
      </c>
      <c r="X140" s="67" t="s">
        <v>0</v>
      </c>
      <c r="Y140" s="23">
        <f t="shared" si="27"/>
        <v>1</v>
      </c>
      <c r="Z140" s="12">
        <v>2</v>
      </c>
      <c r="AA140" s="28">
        <f t="shared" si="28"/>
        <v>1</v>
      </c>
      <c r="AB140" s="1">
        <v>1</v>
      </c>
      <c r="AC140" s="24">
        <f t="shared" si="29"/>
        <v>4</v>
      </c>
      <c r="AD140" s="118">
        <v>20.9</v>
      </c>
      <c r="AE140" s="6">
        <v>17</v>
      </c>
      <c r="AF140" s="138">
        <v>537.34100000000001</v>
      </c>
      <c r="AG140" s="137">
        <v>828.89800000000002</v>
      </c>
      <c r="AH140" s="32">
        <v>857</v>
      </c>
      <c r="AI140" s="138">
        <v>0.98899999999999999</v>
      </c>
      <c r="AJ140" s="138">
        <v>5.6000000000000001E-2</v>
      </c>
      <c r="AK140" s="137">
        <v>9.61</v>
      </c>
      <c r="AL140" s="137">
        <v>1.55</v>
      </c>
      <c r="AM140" s="137">
        <v>48.24</v>
      </c>
      <c r="AN140" s="137">
        <v>4.3899999999999997</v>
      </c>
      <c r="AO140" s="137">
        <v>15.64</v>
      </c>
      <c r="AP140" s="137">
        <v>1.1299999999999999</v>
      </c>
      <c r="AQ140" s="137">
        <v>26.72</v>
      </c>
      <c r="AR140" s="137">
        <v>2.89</v>
      </c>
      <c r="AS140" s="137">
        <v>-42.029000000000003</v>
      </c>
      <c r="AT140" s="137">
        <v>6.2720000000000002</v>
      </c>
      <c r="AU140" s="137">
        <v>9.0909999999999993</v>
      </c>
      <c r="AV140" s="137">
        <v>2.15</v>
      </c>
      <c r="AW140" s="137">
        <v>60.493000000000002</v>
      </c>
      <c r="AX140" s="137">
        <v>4.5739999999999998</v>
      </c>
      <c r="AY140" s="138">
        <v>0.75</v>
      </c>
      <c r="AZ140" s="138">
        <v>0.13700000000000001</v>
      </c>
      <c r="BA140" s="138">
        <v>0.68100000000000005</v>
      </c>
      <c r="BB140" s="138">
        <v>0.114</v>
      </c>
      <c r="BC140" s="138">
        <v>0.73399999999999999</v>
      </c>
      <c r="BD140" s="138">
        <v>0.123</v>
      </c>
      <c r="BE140" s="138">
        <v>0.69799999999999995</v>
      </c>
      <c r="BF140" s="138">
        <v>0.11700000000000001</v>
      </c>
      <c r="BG140" s="138">
        <v>0.13700000000000001</v>
      </c>
      <c r="BH140" s="138">
        <v>3.7999999999999999E-2</v>
      </c>
    </row>
    <row r="141" spans="1:60" ht="14.25" customHeight="1" x14ac:dyDescent="0.2">
      <c r="A141" s="22">
        <v>138</v>
      </c>
      <c r="B141" s="21" t="s">
        <v>236</v>
      </c>
      <c r="C141" s="44"/>
      <c r="D141" s="140">
        <v>44518</v>
      </c>
      <c r="E141" s="1" t="s">
        <v>0</v>
      </c>
      <c r="F141" s="109" t="s">
        <v>85</v>
      </c>
      <c r="G141" s="111">
        <v>185</v>
      </c>
      <c r="H141" s="1" t="s">
        <v>81</v>
      </c>
      <c r="I141" s="75" t="s">
        <v>83</v>
      </c>
      <c r="J141" s="1" t="s">
        <v>279</v>
      </c>
      <c r="K141" s="1" t="s">
        <v>3</v>
      </c>
      <c r="L141" s="21" t="s">
        <v>84</v>
      </c>
      <c r="M141" s="125">
        <v>37.6</v>
      </c>
      <c r="N141" s="118">
        <v>1.51</v>
      </c>
      <c r="O141" s="25">
        <f t="shared" si="30"/>
        <v>16.490504802420947</v>
      </c>
      <c r="P141" s="1">
        <v>7</v>
      </c>
      <c r="Q141" s="132">
        <v>4.2</v>
      </c>
      <c r="R141" s="27">
        <f t="shared" si="31"/>
        <v>0.95238095238095233</v>
      </c>
      <c r="S141" s="1" t="s">
        <v>84</v>
      </c>
      <c r="T141" s="67" t="s">
        <v>0</v>
      </c>
      <c r="U141" s="23" t="str">
        <f t="shared" si="26"/>
        <v>NO</v>
      </c>
      <c r="V141" s="125">
        <v>12</v>
      </c>
      <c r="W141" s="23" t="str">
        <f t="shared" si="32"/>
        <v>NO</v>
      </c>
      <c r="X141" s="67" t="s">
        <v>0</v>
      </c>
      <c r="Y141" s="23">
        <f t="shared" si="27"/>
        <v>1</v>
      </c>
      <c r="Z141" s="12">
        <v>1</v>
      </c>
      <c r="AA141" s="28">
        <f t="shared" si="28"/>
        <v>4</v>
      </c>
      <c r="AB141" s="1">
        <v>0</v>
      </c>
      <c r="AC141" s="24">
        <f t="shared" si="29"/>
        <v>5</v>
      </c>
      <c r="AD141" s="118">
        <v>50</v>
      </c>
      <c r="AE141" s="6" t="s">
        <v>105</v>
      </c>
      <c r="AF141" s="138">
        <v>835.95299999999997</v>
      </c>
      <c r="AG141" s="137">
        <v>1493.117</v>
      </c>
      <c r="AH141" s="32">
        <v>1520</v>
      </c>
      <c r="AI141" s="138">
        <v>1.054</v>
      </c>
      <c r="AJ141" s="138">
        <v>0.17199999999999999</v>
      </c>
      <c r="AK141" s="137">
        <v>8.56</v>
      </c>
      <c r="AL141" s="137">
        <v>2</v>
      </c>
      <c r="AM141" s="137">
        <v>40.67</v>
      </c>
      <c r="AN141" s="137">
        <v>9.09</v>
      </c>
      <c r="AO141" s="137">
        <v>17.829999999999998</v>
      </c>
      <c r="AP141" s="137">
        <v>3.68</v>
      </c>
      <c r="AQ141" s="137">
        <v>30.47</v>
      </c>
      <c r="AR141" s="137">
        <v>5.32</v>
      </c>
      <c r="AS141" s="137">
        <v>-44.167999999999999</v>
      </c>
      <c r="AT141" s="137">
        <v>9.58</v>
      </c>
      <c r="AU141" s="137">
        <v>6.7750000000000004</v>
      </c>
      <c r="AV141" s="137">
        <v>1.992</v>
      </c>
      <c r="AW141" s="137">
        <v>57.125</v>
      </c>
      <c r="AX141" s="137">
        <v>10.339</v>
      </c>
      <c r="AY141" s="138">
        <v>0.74299999999999999</v>
      </c>
      <c r="AZ141" s="138">
        <v>0.17499999999999999</v>
      </c>
      <c r="BA141" s="138">
        <v>0.71599999999999997</v>
      </c>
      <c r="BB141" s="138">
        <v>0.17100000000000001</v>
      </c>
      <c r="BC141" s="138">
        <v>0.83</v>
      </c>
      <c r="BD141" s="138">
        <v>0.186</v>
      </c>
      <c r="BE141" s="138">
        <v>0.74399999999999999</v>
      </c>
      <c r="BF141" s="138">
        <v>0.17699999999999999</v>
      </c>
      <c r="BG141" s="138">
        <v>0.157</v>
      </c>
      <c r="BH141" s="138">
        <v>4.8000000000000001E-2</v>
      </c>
    </row>
    <row r="142" spans="1:60" ht="14.25" customHeight="1" x14ac:dyDescent="0.2">
      <c r="A142" s="22">
        <v>139</v>
      </c>
      <c r="B142" s="21" t="s">
        <v>237</v>
      </c>
      <c r="C142" s="44"/>
      <c r="D142" s="140">
        <v>44518</v>
      </c>
      <c r="E142" s="1" t="s">
        <v>84</v>
      </c>
      <c r="F142" s="109" t="s">
        <v>85</v>
      </c>
      <c r="G142" s="111">
        <v>185</v>
      </c>
      <c r="H142" s="1" t="s">
        <v>81</v>
      </c>
      <c r="I142" s="75" t="s">
        <v>83</v>
      </c>
      <c r="J142" s="1" t="s">
        <v>284</v>
      </c>
      <c r="K142" s="1" t="s">
        <v>3</v>
      </c>
      <c r="L142" s="21" t="s">
        <v>84</v>
      </c>
      <c r="M142" s="125">
        <v>43.1</v>
      </c>
      <c r="N142" s="118">
        <v>1.4</v>
      </c>
      <c r="O142" s="25">
        <f t="shared" si="30"/>
        <v>21.989795918367349</v>
      </c>
      <c r="P142" s="1">
        <v>5</v>
      </c>
      <c r="Q142" s="132">
        <v>5.5</v>
      </c>
      <c r="R142" s="27">
        <f t="shared" si="31"/>
        <v>0.72727272727272729</v>
      </c>
      <c r="S142" s="1" t="s">
        <v>0</v>
      </c>
      <c r="T142" s="67" t="s">
        <v>0</v>
      </c>
      <c r="U142" s="23" t="str">
        <f t="shared" si="26"/>
        <v>NO</v>
      </c>
      <c r="V142" s="125">
        <v>12</v>
      </c>
      <c r="W142" s="23" t="str">
        <f t="shared" si="32"/>
        <v>NO</v>
      </c>
      <c r="X142" s="67" t="s">
        <v>0</v>
      </c>
      <c r="Y142" s="23">
        <f t="shared" si="27"/>
        <v>0</v>
      </c>
      <c r="Z142" s="12">
        <v>2</v>
      </c>
      <c r="AA142" s="28">
        <f t="shared" si="28"/>
        <v>3</v>
      </c>
      <c r="AB142" s="1">
        <v>3</v>
      </c>
      <c r="AC142" s="24">
        <f t="shared" si="29"/>
        <v>8</v>
      </c>
      <c r="AD142" s="118">
        <v>18.8</v>
      </c>
      <c r="AE142" s="6">
        <v>7</v>
      </c>
      <c r="AF142" s="138">
        <v>799.31500000000005</v>
      </c>
      <c r="AG142" s="137">
        <v>1253.617</v>
      </c>
      <c r="AH142" s="32">
        <v>1005</v>
      </c>
      <c r="AI142" s="138">
        <v>1.3029999999999999</v>
      </c>
      <c r="AJ142" s="138">
        <v>0.16600000000000001</v>
      </c>
      <c r="AK142" s="137">
        <v>11.1</v>
      </c>
      <c r="AL142" s="137">
        <v>1.97</v>
      </c>
      <c r="AM142" s="137">
        <v>42.87</v>
      </c>
      <c r="AN142" s="137">
        <v>5.14</v>
      </c>
      <c r="AO142" s="137">
        <v>18.71</v>
      </c>
      <c r="AP142" s="137">
        <v>2.37</v>
      </c>
      <c r="AQ142" s="137">
        <v>26.94</v>
      </c>
      <c r="AR142" s="137">
        <v>3.15</v>
      </c>
      <c r="AS142" s="137">
        <v>-51.493000000000002</v>
      </c>
      <c r="AT142" s="137">
        <v>6.2329999999999997</v>
      </c>
      <c r="AU142" s="137">
        <v>16.905999999999999</v>
      </c>
      <c r="AV142" s="137">
        <v>3.6219999999999999</v>
      </c>
      <c r="AW142" s="137">
        <v>46.17</v>
      </c>
      <c r="AX142" s="137">
        <v>6.298</v>
      </c>
      <c r="AY142" s="138">
        <v>0.73899999999999999</v>
      </c>
      <c r="AZ142" s="138">
        <v>0.13800000000000001</v>
      </c>
      <c r="BA142" s="138">
        <v>0.85899999999999999</v>
      </c>
      <c r="BB142" s="138">
        <v>0.124</v>
      </c>
      <c r="BC142" s="138">
        <v>0.93200000000000005</v>
      </c>
      <c r="BD142" s="138">
        <v>0.13200000000000001</v>
      </c>
      <c r="BE142" s="138">
        <v>0.88</v>
      </c>
      <c r="BF142" s="138">
        <v>0.127</v>
      </c>
      <c r="BG142" s="138">
        <v>0.126</v>
      </c>
      <c r="BH142" s="138">
        <v>3.5000000000000003E-2</v>
      </c>
    </row>
    <row r="143" spans="1:60" ht="14.25" customHeight="1" x14ac:dyDescent="0.2">
      <c r="A143" s="22">
        <v>140</v>
      </c>
      <c r="B143" s="21" t="s">
        <v>238</v>
      </c>
      <c r="C143" s="111" t="s">
        <v>104</v>
      </c>
      <c r="D143" s="140">
        <v>44518</v>
      </c>
      <c r="E143" s="1" t="s">
        <v>0</v>
      </c>
      <c r="F143" s="109" t="s">
        <v>85</v>
      </c>
      <c r="G143" s="111">
        <v>185</v>
      </c>
      <c r="H143" s="1" t="s">
        <v>81</v>
      </c>
      <c r="I143" s="75" t="s">
        <v>83</v>
      </c>
      <c r="J143" s="1" t="s">
        <v>284</v>
      </c>
      <c r="K143" s="1" t="s">
        <v>5</v>
      </c>
      <c r="L143" s="21" t="s">
        <v>84</v>
      </c>
      <c r="M143" s="125">
        <v>56.5</v>
      </c>
      <c r="N143" s="118">
        <v>1.58</v>
      </c>
      <c r="O143" s="25">
        <f t="shared" si="30"/>
        <v>22.632590930940552</v>
      </c>
      <c r="P143" s="1">
        <v>2</v>
      </c>
      <c r="Q143" s="132">
        <v>9.9</v>
      </c>
      <c r="R143" s="27">
        <f t="shared" si="31"/>
        <v>0.40404040404040403</v>
      </c>
      <c r="S143" s="1" t="s">
        <v>105</v>
      </c>
      <c r="T143" s="67" t="s">
        <v>105</v>
      </c>
      <c r="U143" s="23" t="str">
        <f t="shared" si="26"/>
        <v>YES</v>
      </c>
      <c r="V143" s="125" t="s">
        <v>105</v>
      </c>
      <c r="W143" s="23" t="str">
        <f>IF(OR(V143="Incapable",V143="-"),"-",IF(AND(K143="M",O143&lt;=26.4),IF(V143&lt;=19.1,"YES","NO"),"") &amp;  IF(AND(K143="M",O143&gt;26.4),IF(V143&lt;=22.9,"YES","NO"),"")  &amp; IF(AND(K143="F",O143&lt;=26.4),IF(V143&lt;11,"YES","NO"),"") &amp; IF(AND(K143="F",O143&gt;26.4),IF(V143&lt;12,"YES","NO"),""))</f>
        <v>-</v>
      </c>
      <c r="X143" s="67" t="s">
        <v>105</v>
      </c>
      <c r="Y143" s="23">
        <f t="shared" si="27"/>
        <v>1</v>
      </c>
      <c r="Z143" s="12" t="s">
        <v>105</v>
      </c>
      <c r="AA143" s="28">
        <f t="shared" si="28"/>
        <v>1</v>
      </c>
      <c r="AB143" s="1" t="s">
        <v>105</v>
      </c>
      <c r="AC143" s="24">
        <f t="shared" si="29"/>
        <v>1</v>
      </c>
      <c r="AD143" s="118" t="s">
        <v>105</v>
      </c>
      <c r="AE143" s="6" t="s">
        <v>105</v>
      </c>
      <c r="AF143" s="138">
        <v>291.94799999999998</v>
      </c>
      <c r="AG143" s="137">
        <v>796.93799999999999</v>
      </c>
      <c r="AH143" s="32">
        <v>603</v>
      </c>
      <c r="AI143" s="138">
        <v>1.353</v>
      </c>
      <c r="AJ143" s="138">
        <v>0.125</v>
      </c>
      <c r="AK143" s="137">
        <v>6.46</v>
      </c>
      <c r="AL143" s="137">
        <v>1.45</v>
      </c>
      <c r="AM143" s="137">
        <v>53.75</v>
      </c>
      <c r="AN143" s="137">
        <v>5.0199999999999996</v>
      </c>
      <c r="AO143" s="137">
        <v>14.16</v>
      </c>
      <c r="AP143" s="137">
        <v>1.81</v>
      </c>
      <c r="AQ143" s="137">
        <v>25.77</v>
      </c>
      <c r="AR143" s="137">
        <v>3.08</v>
      </c>
      <c r="AS143" s="137">
        <v>-31.167000000000002</v>
      </c>
      <c r="AT143" s="137">
        <v>5.4560000000000004</v>
      </c>
      <c r="AU143" s="137">
        <v>4.9560000000000004</v>
      </c>
      <c r="AV143" s="137">
        <v>1.27</v>
      </c>
      <c r="AW143" s="137">
        <v>44.344999999999999</v>
      </c>
      <c r="AX143" s="137">
        <v>4.3650000000000002</v>
      </c>
      <c r="AY143" s="138">
        <v>0.40899999999999997</v>
      </c>
      <c r="AZ143" s="138">
        <v>7.3999999999999996E-2</v>
      </c>
      <c r="BA143" s="138">
        <v>0.503</v>
      </c>
      <c r="BB143" s="138">
        <v>7.8E-2</v>
      </c>
      <c r="BC143" s="138">
        <v>0.54600000000000004</v>
      </c>
      <c r="BD143" s="138">
        <v>8.5999999999999993E-2</v>
      </c>
      <c r="BE143" s="138">
        <v>0.52300000000000002</v>
      </c>
      <c r="BF143" s="138">
        <v>8.3000000000000004E-2</v>
      </c>
      <c r="BG143" s="138">
        <v>7.4999999999999997E-2</v>
      </c>
      <c r="BH143" s="138">
        <v>2.3E-2</v>
      </c>
    </row>
    <row r="144" spans="1:60" ht="14.25" customHeight="1" x14ac:dyDescent="0.2">
      <c r="A144" s="22">
        <v>141</v>
      </c>
      <c r="B144" s="21" t="s">
        <v>239</v>
      </c>
      <c r="C144" s="47"/>
      <c r="D144" s="140">
        <v>44545</v>
      </c>
      <c r="E144" s="34" t="s">
        <v>84</v>
      </c>
      <c r="F144" s="109" t="s">
        <v>62</v>
      </c>
      <c r="G144" s="113" t="s">
        <v>4</v>
      </c>
      <c r="H144" s="34" t="s">
        <v>80</v>
      </c>
      <c r="I144" s="80" t="s">
        <v>83</v>
      </c>
      <c r="J144" s="34" t="s">
        <v>280</v>
      </c>
      <c r="K144" s="34" t="s">
        <v>3</v>
      </c>
      <c r="L144" s="42" t="s">
        <v>0</v>
      </c>
      <c r="M144" s="129">
        <v>36.4</v>
      </c>
      <c r="N144" s="122">
        <v>1.32</v>
      </c>
      <c r="O144" s="35">
        <f t="shared" si="30"/>
        <v>20.890725436179977</v>
      </c>
      <c r="P144" s="34">
        <v>5</v>
      </c>
      <c r="Q144" s="135">
        <v>5.77</v>
      </c>
      <c r="R144" s="36">
        <f t="shared" si="31"/>
        <v>0.69324090121317161</v>
      </c>
      <c r="S144" s="34" t="s">
        <v>84</v>
      </c>
      <c r="T144" s="69" t="s">
        <v>84</v>
      </c>
      <c r="U144" s="37" t="str">
        <f t="shared" si="26"/>
        <v>NO</v>
      </c>
      <c r="V144" s="129">
        <v>10</v>
      </c>
      <c r="W144" s="23" t="str">
        <f t="shared" si="32"/>
        <v>YES</v>
      </c>
      <c r="X144" s="69" t="s">
        <v>84</v>
      </c>
      <c r="Y144" s="37">
        <f t="shared" si="27"/>
        <v>4</v>
      </c>
      <c r="Z144" s="41">
        <v>1</v>
      </c>
      <c r="AA144" s="38">
        <f t="shared" si="28"/>
        <v>3</v>
      </c>
      <c r="AB144" s="34">
        <v>3</v>
      </c>
      <c r="AC144" s="39">
        <f t="shared" si="29"/>
        <v>7</v>
      </c>
      <c r="AD144" s="122" t="s">
        <v>105</v>
      </c>
      <c r="AE144" s="40">
        <v>14</v>
      </c>
      <c r="AF144" s="138">
        <v>371.35399999999998</v>
      </c>
      <c r="AG144" s="137">
        <v>592.31399999999996</v>
      </c>
      <c r="AH144" s="32">
        <v>592</v>
      </c>
      <c r="AI144" s="138">
        <v>1.056</v>
      </c>
      <c r="AJ144" s="138">
        <v>0.115</v>
      </c>
      <c r="AK144" s="137">
        <v>9.1199999999999992</v>
      </c>
      <c r="AL144" s="137">
        <v>1.88</v>
      </c>
      <c r="AM144" s="137">
        <v>42.28</v>
      </c>
      <c r="AN144" s="137">
        <v>5.73</v>
      </c>
      <c r="AO144" s="137">
        <v>19.559999999999999</v>
      </c>
      <c r="AP144" s="137">
        <v>2.73</v>
      </c>
      <c r="AQ144" s="137">
        <v>28.85</v>
      </c>
      <c r="AR144" s="137">
        <v>3.23</v>
      </c>
      <c r="AS144" s="137">
        <v>-44.954000000000001</v>
      </c>
      <c r="AT144" s="137">
        <v>7.2460000000000004</v>
      </c>
      <c r="AU144" s="137">
        <v>9.5350000000000001</v>
      </c>
      <c r="AV144" s="137">
        <v>2.1520000000000001</v>
      </c>
      <c r="AW144" s="137">
        <v>56.554000000000002</v>
      </c>
      <c r="AX144" s="137">
        <v>7.0439999999999996</v>
      </c>
      <c r="AY144" s="138">
        <v>0.72499999999999998</v>
      </c>
      <c r="AZ144" s="138">
        <v>0.14299999999999999</v>
      </c>
      <c r="BA144" s="138">
        <v>0.74</v>
      </c>
      <c r="BB144" s="138">
        <v>0.127</v>
      </c>
      <c r="BC144" s="138">
        <v>0.76700000000000002</v>
      </c>
      <c r="BD144" s="138">
        <v>0.13100000000000001</v>
      </c>
      <c r="BE144" s="138">
        <v>0.753</v>
      </c>
      <c r="BF144" s="138">
        <v>0.129</v>
      </c>
      <c r="BG144" s="138">
        <v>4.3999999999999997E-2</v>
      </c>
      <c r="BH144" s="138">
        <v>0.01</v>
      </c>
    </row>
    <row r="145" spans="1:60" ht="14.25" customHeight="1" x14ac:dyDescent="0.2">
      <c r="A145" s="22">
        <v>142</v>
      </c>
      <c r="B145" s="21" t="s">
        <v>240</v>
      </c>
      <c r="C145" s="113" t="s">
        <v>270</v>
      </c>
      <c r="D145" s="140">
        <v>44545</v>
      </c>
      <c r="E145" s="34" t="s">
        <v>84</v>
      </c>
      <c r="F145" s="109" t="s">
        <v>62</v>
      </c>
      <c r="G145" s="113" t="s">
        <v>1</v>
      </c>
      <c r="H145" s="34" t="s">
        <v>80</v>
      </c>
      <c r="I145" s="80" t="s">
        <v>83</v>
      </c>
      <c r="J145" s="34" t="s">
        <v>282</v>
      </c>
      <c r="K145" s="34" t="s">
        <v>3</v>
      </c>
      <c r="L145" s="42" t="s">
        <v>0</v>
      </c>
      <c r="M145" s="129">
        <v>57</v>
      </c>
      <c r="N145" s="122">
        <v>1.47</v>
      </c>
      <c r="O145" s="35">
        <f t="shared" ref="O145:O146" si="33">IFERROR(M145/(N145^2),"--")</f>
        <v>26.377898098014718</v>
      </c>
      <c r="P145" s="34">
        <v>2</v>
      </c>
      <c r="Q145" s="135">
        <v>11.35</v>
      </c>
      <c r="R145" s="36">
        <f t="shared" ref="R145:R146" si="34">IFERROR(4/Q145,"--")</f>
        <v>0.3524229074889868</v>
      </c>
      <c r="S145" s="34" t="s">
        <v>0</v>
      </c>
      <c r="T145" s="69" t="s">
        <v>84</v>
      </c>
      <c r="U145" s="37" t="str">
        <f t="shared" si="26"/>
        <v>YES</v>
      </c>
      <c r="V145" s="129">
        <v>9.6999999999999993</v>
      </c>
      <c r="W145" s="23" t="str">
        <f t="shared" si="32"/>
        <v>YES</v>
      </c>
      <c r="X145" s="69" t="s">
        <v>0</v>
      </c>
      <c r="Y145" s="37">
        <f t="shared" si="27"/>
        <v>3</v>
      </c>
      <c r="Z145" s="41">
        <v>2</v>
      </c>
      <c r="AA145" s="38">
        <f t="shared" si="28"/>
        <v>1</v>
      </c>
      <c r="AB145" s="34">
        <v>1</v>
      </c>
      <c r="AC145" s="39">
        <f t="shared" si="29"/>
        <v>4</v>
      </c>
      <c r="AD145" s="122">
        <v>43</v>
      </c>
      <c r="AE145" s="40">
        <v>14</v>
      </c>
      <c r="AF145" s="138">
        <v>295.25099999999998</v>
      </c>
      <c r="AG145" s="137">
        <v>1288.4290000000001</v>
      </c>
      <c r="AH145" s="32">
        <v>782</v>
      </c>
      <c r="AI145" s="138">
        <v>1.66</v>
      </c>
      <c r="AJ145" s="138">
        <v>0.14199999999999999</v>
      </c>
      <c r="AK145" s="137">
        <v>8.35</v>
      </c>
      <c r="AL145" s="137">
        <v>1.63</v>
      </c>
      <c r="AM145" s="137">
        <v>58.35</v>
      </c>
      <c r="AN145" s="137">
        <v>4.26</v>
      </c>
      <c r="AO145" s="137">
        <v>11.86</v>
      </c>
      <c r="AP145" s="137">
        <v>1.27</v>
      </c>
      <c r="AQ145" s="137">
        <v>21.59</v>
      </c>
      <c r="AR145" s="137">
        <v>2.31</v>
      </c>
      <c r="AS145" s="137">
        <v>-37.441000000000003</v>
      </c>
      <c r="AT145" s="137">
        <v>4.2450000000000001</v>
      </c>
      <c r="AU145" s="137">
        <v>10.622999999999999</v>
      </c>
      <c r="AV145" s="137">
        <v>2.827</v>
      </c>
      <c r="AW145" s="137">
        <v>36.345999999999997</v>
      </c>
      <c r="AX145" s="137">
        <v>3.3889999999999998</v>
      </c>
      <c r="AY145" s="138">
        <v>0.34399999999999997</v>
      </c>
      <c r="AZ145" s="138">
        <v>0.05</v>
      </c>
      <c r="BA145" s="138">
        <v>0.442</v>
      </c>
      <c r="BB145" s="138">
        <v>8.2000000000000003E-2</v>
      </c>
      <c r="BC145" s="138">
        <v>0.57099999999999995</v>
      </c>
      <c r="BD145" s="138">
        <v>8.5000000000000006E-2</v>
      </c>
      <c r="BE145" s="138">
        <v>0.46200000000000002</v>
      </c>
      <c r="BF145" s="138">
        <v>8.5999999999999993E-2</v>
      </c>
      <c r="BG145" s="138">
        <v>0.254</v>
      </c>
      <c r="BH145" s="138">
        <v>6.0999999999999999E-2</v>
      </c>
    </row>
    <row r="146" spans="1:60" ht="14.25" customHeight="1" x14ac:dyDescent="0.2">
      <c r="A146" s="22">
        <v>143</v>
      </c>
      <c r="B146" s="21" t="s">
        <v>241</v>
      </c>
      <c r="C146" s="113" t="s">
        <v>270</v>
      </c>
      <c r="D146" s="140">
        <v>44545</v>
      </c>
      <c r="E146" s="34" t="s">
        <v>84</v>
      </c>
      <c r="F146" s="109" t="s">
        <v>62</v>
      </c>
      <c r="G146" s="113" t="s">
        <v>1</v>
      </c>
      <c r="H146" s="34" t="s">
        <v>80</v>
      </c>
      <c r="I146" s="80" t="s">
        <v>83</v>
      </c>
      <c r="J146" s="34" t="s">
        <v>279</v>
      </c>
      <c r="K146" s="34" t="s">
        <v>3</v>
      </c>
      <c r="L146" s="42" t="s">
        <v>0</v>
      </c>
      <c r="M146" s="129">
        <v>86.6</v>
      </c>
      <c r="N146" s="122">
        <v>1.5</v>
      </c>
      <c r="O146" s="35">
        <f t="shared" si="33"/>
        <v>38.488888888888887</v>
      </c>
      <c r="P146" s="34">
        <v>1</v>
      </c>
      <c r="Q146" s="135">
        <v>4.18</v>
      </c>
      <c r="R146" s="36">
        <f t="shared" si="34"/>
        <v>0.95693779904306231</v>
      </c>
      <c r="S146" s="34" t="s">
        <v>0</v>
      </c>
      <c r="T146" s="69" t="s">
        <v>0</v>
      </c>
      <c r="U146" s="37" t="str">
        <f t="shared" si="26"/>
        <v>NO</v>
      </c>
      <c r="V146" s="129">
        <v>22.7</v>
      </c>
      <c r="W146" s="23" t="str">
        <f t="shared" si="32"/>
        <v>NO</v>
      </c>
      <c r="X146" s="69" t="s">
        <v>84</v>
      </c>
      <c r="Y146" s="37">
        <f t="shared" si="27"/>
        <v>1</v>
      </c>
      <c r="Z146" s="41">
        <v>3</v>
      </c>
      <c r="AA146" s="38">
        <f t="shared" si="28"/>
        <v>4</v>
      </c>
      <c r="AB146" s="34">
        <v>4</v>
      </c>
      <c r="AC146" s="39">
        <f t="shared" si="29"/>
        <v>11</v>
      </c>
      <c r="AD146" s="122">
        <v>12</v>
      </c>
      <c r="AE146" s="40">
        <v>9</v>
      </c>
      <c r="AF146" s="138">
        <v>569.21600000000001</v>
      </c>
      <c r="AG146" s="137">
        <v>874.16300000000001</v>
      </c>
      <c r="AH146" s="32">
        <v>855</v>
      </c>
      <c r="AI146" s="138">
        <v>1.087</v>
      </c>
      <c r="AJ146" s="138">
        <v>0.11</v>
      </c>
      <c r="AK146" s="137">
        <v>11.08</v>
      </c>
      <c r="AL146" s="137">
        <v>1.99</v>
      </c>
      <c r="AM146" s="137">
        <v>41.51</v>
      </c>
      <c r="AN146" s="137">
        <v>4.53</v>
      </c>
      <c r="AO146" s="137">
        <v>18.29</v>
      </c>
      <c r="AP146" s="137">
        <v>2.54</v>
      </c>
      <c r="AQ146" s="137">
        <v>29.19</v>
      </c>
      <c r="AR146" s="137">
        <v>3.24</v>
      </c>
      <c r="AS146" s="137">
        <v>-48.033999999999999</v>
      </c>
      <c r="AT146" s="137">
        <v>6.5890000000000004</v>
      </c>
      <c r="AU146" s="137">
        <v>10.603</v>
      </c>
      <c r="AV146" s="137">
        <v>2.85</v>
      </c>
      <c r="AW146" s="137">
        <v>54.595999999999997</v>
      </c>
      <c r="AX146" s="137">
        <v>6.7149999999999999</v>
      </c>
      <c r="AY146" s="138">
        <v>0.88800000000000001</v>
      </c>
      <c r="AZ146" s="138">
        <v>0.129</v>
      </c>
      <c r="BA146" s="138">
        <v>0.76500000000000001</v>
      </c>
      <c r="BB146" s="138">
        <v>0.16300000000000001</v>
      </c>
      <c r="BC146" s="138">
        <v>0.94899999999999995</v>
      </c>
      <c r="BD146" s="138">
        <v>0.13200000000000001</v>
      </c>
      <c r="BE146" s="138">
        <v>0.77900000000000003</v>
      </c>
      <c r="BF146" s="138">
        <v>0.16700000000000001</v>
      </c>
      <c r="BG146" s="138">
        <v>0.437</v>
      </c>
      <c r="BH146" s="138">
        <v>0.121</v>
      </c>
    </row>
    <row r="147" spans="1:60" ht="16" x14ac:dyDescent="0.2">
      <c r="A147" s="22">
        <v>144</v>
      </c>
      <c r="B147" s="21" t="s">
        <v>242</v>
      </c>
      <c r="C147" s="113"/>
      <c r="D147" s="140">
        <v>44551</v>
      </c>
      <c r="E147" s="34" t="s">
        <v>84</v>
      </c>
      <c r="F147" s="109" t="s">
        <v>62</v>
      </c>
      <c r="G147" s="113" t="s">
        <v>13</v>
      </c>
      <c r="H147" s="34" t="s">
        <v>80</v>
      </c>
      <c r="I147" s="80" t="s">
        <v>82</v>
      </c>
      <c r="J147" s="34" t="s">
        <v>283</v>
      </c>
      <c r="K147" s="34" t="s">
        <v>5</v>
      </c>
      <c r="L147" s="42" t="s">
        <v>0</v>
      </c>
      <c r="M147" s="129">
        <v>70</v>
      </c>
      <c r="N147" s="122">
        <v>1.7</v>
      </c>
      <c r="O147" s="35">
        <f t="shared" ref="O147:O163" si="35">IFERROR(M147/(N147^2),"--")</f>
        <v>24.221453287197235</v>
      </c>
      <c r="P147" s="34">
        <v>1</v>
      </c>
      <c r="Q147" s="135">
        <v>6.53</v>
      </c>
      <c r="R147" s="36">
        <f t="shared" ref="R147:R162" si="36">IFERROR(4/Q147,"--")</f>
        <v>0.61255742725880546</v>
      </c>
      <c r="S147" s="34" t="s">
        <v>0</v>
      </c>
      <c r="T147" s="69" t="s">
        <v>0</v>
      </c>
      <c r="U147" s="37" t="str">
        <f t="shared" si="26"/>
        <v>NO</v>
      </c>
      <c r="V147" s="129">
        <v>34</v>
      </c>
      <c r="W147" s="23" t="str">
        <f t="shared" si="32"/>
        <v>NO</v>
      </c>
      <c r="X147" s="69" t="s">
        <v>0</v>
      </c>
      <c r="Y147" s="37">
        <f t="shared" si="27"/>
        <v>0</v>
      </c>
      <c r="Z147" s="41">
        <v>4</v>
      </c>
      <c r="AA147" s="38">
        <f t="shared" si="28"/>
        <v>2</v>
      </c>
      <c r="AB147" s="34">
        <v>1</v>
      </c>
      <c r="AC147" s="39">
        <f t="shared" si="29"/>
        <v>7</v>
      </c>
      <c r="AD147" s="122">
        <v>19.52</v>
      </c>
      <c r="AE147" s="40">
        <v>7</v>
      </c>
      <c r="AF147" s="138">
        <v>679.49400000000003</v>
      </c>
      <c r="AG147" s="137">
        <v>1133.973</v>
      </c>
      <c r="AH147" s="32">
        <v>961</v>
      </c>
      <c r="AI147" s="138">
        <v>1.2330000000000001</v>
      </c>
      <c r="AJ147" s="138">
        <v>0.13400000000000001</v>
      </c>
      <c r="AK147" s="137">
        <v>8.5500000000000007</v>
      </c>
      <c r="AL147" s="137">
        <v>1.2</v>
      </c>
      <c r="AM147" s="137">
        <v>43.58</v>
      </c>
      <c r="AN147" s="137">
        <v>4.8499999999999996</v>
      </c>
      <c r="AO147" s="137">
        <v>18.77</v>
      </c>
      <c r="AP147" s="137">
        <v>2.58</v>
      </c>
      <c r="AQ147" s="137">
        <v>29.53</v>
      </c>
      <c r="AR147" s="137">
        <v>3.28</v>
      </c>
      <c r="AS147" s="137">
        <v>-50.847999999999999</v>
      </c>
      <c r="AT147" s="137">
        <v>5.742</v>
      </c>
      <c r="AU147" s="137">
        <v>9.423</v>
      </c>
      <c r="AV147" s="137">
        <v>2.1120000000000001</v>
      </c>
      <c r="AW147" s="137">
        <v>48.414999999999999</v>
      </c>
      <c r="AX147" s="137">
        <v>6.0309999999999997</v>
      </c>
      <c r="AY147" s="138">
        <v>0.79500000000000004</v>
      </c>
      <c r="AZ147" s="138">
        <v>0.125</v>
      </c>
      <c r="BA147" s="138">
        <v>0.746</v>
      </c>
      <c r="BB147" s="138">
        <v>0.13700000000000001</v>
      </c>
      <c r="BC147" s="138">
        <v>0.97099999999999997</v>
      </c>
      <c r="BD147" s="138">
        <v>0.121</v>
      </c>
      <c r="BE147" s="138">
        <v>0.80500000000000005</v>
      </c>
      <c r="BF147" s="138">
        <v>0.13700000000000001</v>
      </c>
      <c r="BG147" s="138">
        <v>0.55200000000000005</v>
      </c>
      <c r="BH147" s="138">
        <v>0.111</v>
      </c>
    </row>
    <row r="148" spans="1:60" x14ac:dyDescent="0.2">
      <c r="A148" s="22">
        <v>145</v>
      </c>
      <c r="B148" s="21" t="s">
        <v>243</v>
      </c>
      <c r="C148" s="8"/>
      <c r="D148" s="140">
        <v>44552</v>
      </c>
      <c r="E148" s="17" t="s">
        <v>84</v>
      </c>
      <c r="F148" s="109" t="s">
        <v>62</v>
      </c>
      <c r="G148" s="111" t="s">
        <v>10</v>
      </c>
      <c r="H148" s="1" t="s">
        <v>80</v>
      </c>
      <c r="I148" s="75" t="s">
        <v>82</v>
      </c>
      <c r="J148" s="17" t="s">
        <v>280</v>
      </c>
      <c r="K148" s="17" t="s">
        <v>3</v>
      </c>
      <c r="L148" s="21" t="s">
        <v>0</v>
      </c>
      <c r="M148" s="124">
        <v>52</v>
      </c>
      <c r="N148" s="117">
        <v>1.53</v>
      </c>
      <c r="O148" s="25">
        <f t="shared" si="35"/>
        <v>22.213678499722331</v>
      </c>
      <c r="P148" s="17">
        <v>1</v>
      </c>
      <c r="Q148" s="131">
        <v>3.7</v>
      </c>
      <c r="R148" s="27">
        <f t="shared" si="36"/>
        <v>1.0810810810810809</v>
      </c>
      <c r="S148" s="17" t="s">
        <v>0</v>
      </c>
      <c r="T148" s="67" t="s">
        <v>0</v>
      </c>
      <c r="U148" s="23" t="str">
        <f t="shared" si="26"/>
        <v>NO</v>
      </c>
      <c r="V148" s="124">
        <v>20.2</v>
      </c>
      <c r="W148" s="23" t="str">
        <f t="shared" si="32"/>
        <v>NO</v>
      </c>
      <c r="X148" s="18" t="s">
        <v>0</v>
      </c>
      <c r="Y148" s="23">
        <f t="shared" si="27"/>
        <v>0</v>
      </c>
      <c r="Z148" s="13">
        <v>4</v>
      </c>
      <c r="AA148" s="28">
        <f t="shared" si="28"/>
        <v>4</v>
      </c>
      <c r="AB148" s="17">
        <v>2</v>
      </c>
      <c r="AC148" s="24">
        <f t="shared" si="29"/>
        <v>10</v>
      </c>
      <c r="AD148" s="117">
        <v>8.9600000000000009</v>
      </c>
      <c r="AE148" s="7">
        <v>8</v>
      </c>
      <c r="AF148" s="138">
        <v>2636.0940000000001</v>
      </c>
      <c r="AG148" s="137">
        <v>1868.86</v>
      </c>
      <c r="AH148" s="32">
        <v>2185</v>
      </c>
      <c r="AI148" s="138">
        <v>0.9</v>
      </c>
      <c r="AJ148" s="138">
        <v>6.6000000000000003E-2</v>
      </c>
      <c r="AK148" s="137">
        <v>13.32</v>
      </c>
      <c r="AL148" s="137">
        <v>1.67</v>
      </c>
      <c r="AM148" s="137">
        <v>26.7</v>
      </c>
      <c r="AN148" s="137">
        <v>3.11</v>
      </c>
      <c r="AO148" s="137">
        <v>24.59</v>
      </c>
      <c r="AP148" s="137">
        <v>2.4900000000000002</v>
      </c>
      <c r="AQ148" s="137">
        <v>34.840000000000003</v>
      </c>
      <c r="AR148" s="137">
        <v>2.29</v>
      </c>
      <c r="AS148" s="137">
        <v>-70.861000000000004</v>
      </c>
      <c r="AT148" s="137">
        <v>5.2460000000000004</v>
      </c>
      <c r="AU148" s="137">
        <v>21.728999999999999</v>
      </c>
      <c r="AV148" s="137">
        <v>3.0979999999999999</v>
      </c>
      <c r="AW148" s="137">
        <v>66.372</v>
      </c>
      <c r="AX148" s="137">
        <v>6.0529999999999999</v>
      </c>
      <c r="AY148" s="138">
        <v>1.587</v>
      </c>
      <c r="AZ148" s="138">
        <v>0.152</v>
      </c>
      <c r="BA148" s="138">
        <v>1.2450000000000001</v>
      </c>
      <c r="BB148" s="138">
        <v>0.18</v>
      </c>
      <c r="BC148" s="138">
        <v>1.4059999999999999</v>
      </c>
      <c r="BD148" s="138">
        <v>0.11600000000000001</v>
      </c>
      <c r="BE148" s="138">
        <v>1.2629999999999999</v>
      </c>
      <c r="BF148" s="138">
        <v>0.17399999999999999</v>
      </c>
      <c r="BG148" s="138">
        <v>0.255</v>
      </c>
      <c r="BH148" s="138">
        <v>0.08</v>
      </c>
    </row>
    <row r="149" spans="1:60" x14ac:dyDescent="0.2">
      <c r="A149" s="22">
        <v>146</v>
      </c>
      <c r="B149" s="21" t="s">
        <v>244</v>
      </c>
      <c r="C149" s="110"/>
      <c r="D149" s="140">
        <v>44629</v>
      </c>
      <c r="E149" s="17" t="s">
        <v>84</v>
      </c>
      <c r="F149" s="109" t="s">
        <v>62</v>
      </c>
      <c r="G149" s="111" t="s">
        <v>7</v>
      </c>
      <c r="H149" s="1" t="s">
        <v>81</v>
      </c>
      <c r="I149" s="75" t="s">
        <v>83</v>
      </c>
      <c r="J149" s="2" t="s">
        <v>284</v>
      </c>
      <c r="K149" s="2" t="s">
        <v>3</v>
      </c>
      <c r="L149" s="22" t="s">
        <v>84</v>
      </c>
      <c r="M149" s="123">
        <v>48.5</v>
      </c>
      <c r="N149" s="116">
        <v>1.49</v>
      </c>
      <c r="O149" s="25">
        <f t="shared" si="35"/>
        <v>21.84586279897302</v>
      </c>
      <c r="P149" s="2">
        <v>1</v>
      </c>
      <c r="Q149" s="131">
        <v>6.42</v>
      </c>
      <c r="R149" s="27">
        <f t="shared" si="36"/>
        <v>0.62305295950155759</v>
      </c>
      <c r="S149" s="2" t="s">
        <v>0</v>
      </c>
      <c r="T149" s="66" t="s">
        <v>0</v>
      </c>
      <c r="U149" s="23" t="str">
        <f t="shared" si="26"/>
        <v>NO</v>
      </c>
      <c r="V149" s="123">
        <v>8</v>
      </c>
      <c r="W149" s="23" t="str">
        <f t="shared" si="32"/>
        <v>YES</v>
      </c>
      <c r="X149" s="66" t="s">
        <v>84</v>
      </c>
      <c r="Y149" s="23">
        <f t="shared" si="27"/>
        <v>2</v>
      </c>
      <c r="Z149" s="13">
        <v>2</v>
      </c>
      <c r="AA149" s="28">
        <f t="shared" si="28"/>
        <v>2</v>
      </c>
      <c r="AB149" s="17">
        <v>3</v>
      </c>
      <c r="AC149" s="24">
        <f t="shared" si="29"/>
        <v>7</v>
      </c>
      <c r="AD149" s="116">
        <v>16.170000000000002</v>
      </c>
      <c r="AE149" s="5">
        <v>9</v>
      </c>
      <c r="AF149" s="138">
        <v>404.137</v>
      </c>
      <c r="AG149" s="137">
        <v>644.54300000000001</v>
      </c>
      <c r="AH149" s="32">
        <v>500</v>
      </c>
      <c r="AI149" s="138">
        <v>1.3740000000000001</v>
      </c>
      <c r="AJ149" s="138">
        <v>0.216</v>
      </c>
      <c r="AK149" s="137">
        <v>10.7</v>
      </c>
      <c r="AL149" s="137">
        <v>2.5</v>
      </c>
      <c r="AM149" s="137">
        <v>41.4</v>
      </c>
      <c r="AN149" s="137">
        <v>8.1199999999999992</v>
      </c>
      <c r="AO149" s="137">
        <v>18.95</v>
      </c>
      <c r="AP149" s="137">
        <v>2.63</v>
      </c>
      <c r="AQ149" s="137">
        <v>26.47</v>
      </c>
      <c r="AR149" s="137">
        <v>4.54</v>
      </c>
      <c r="AS149" s="137">
        <v>-52.543999999999997</v>
      </c>
      <c r="AT149" s="137">
        <v>7.9660000000000002</v>
      </c>
      <c r="AU149" s="137">
        <v>10.59</v>
      </c>
      <c r="AV149" s="137">
        <v>2.956</v>
      </c>
      <c r="AW149" s="137">
        <v>43.789000000000001</v>
      </c>
      <c r="AX149" s="137">
        <v>7.3890000000000002</v>
      </c>
      <c r="AY149" s="138">
        <v>0.67900000000000005</v>
      </c>
      <c r="AZ149" s="138">
        <v>0.19700000000000001</v>
      </c>
      <c r="BA149" s="138">
        <v>0.88800000000000001</v>
      </c>
      <c r="BB149" s="138">
        <v>0.19900000000000001</v>
      </c>
      <c r="BC149" s="138">
        <v>0.93400000000000005</v>
      </c>
      <c r="BD149" s="138">
        <v>0.20499999999999999</v>
      </c>
      <c r="BE149" s="138">
        <v>0.91400000000000003</v>
      </c>
      <c r="BF149" s="138">
        <v>0.19900000000000001</v>
      </c>
      <c r="BG149" s="138">
        <v>6.0999999999999999E-2</v>
      </c>
      <c r="BH149" s="138">
        <v>1.2999999999999999E-2</v>
      </c>
    </row>
    <row r="150" spans="1:60" x14ac:dyDescent="0.2">
      <c r="A150" s="22">
        <v>147</v>
      </c>
      <c r="B150" s="21" t="s">
        <v>245</v>
      </c>
      <c r="C150" s="8"/>
      <c r="D150" s="140">
        <v>44629</v>
      </c>
      <c r="E150" s="17" t="s">
        <v>84</v>
      </c>
      <c r="F150" s="109" t="s">
        <v>62</v>
      </c>
      <c r="G150" s="111" t="s">
        <v>6</v>
      </c>
      <c r="H150" s="1" t="s">
        <v>81</v>
      </c>
      <c r="I150" s="75" t="s">
        <v>83</v>
      </c>
      <c r="J150" s="17" t="s">
        <v>284</v>
      </c>
      <c r="K150" s="17" t="s">
        <v>3</v>
      </c>
      <c r="L150" s="22" t="s">
        <v>84</v>
      </c>
      <c r="M150" s="124">
        <v>58.2</v>
      </c>
      <c r="N150" s="117">
        <v>1.44</v>
      </c>
      <c r="O150" s="25">
        <f t="shared" si="35"/>
        <v>28.067129629629633</v>
      </c>
      <c r="P150" s="17">
        <v>1</v>
      </c>
      <c r="Q150" s="131">
        <v>8.61</v>
      </c>
      <c r="R150" s="27">
        <f t="shared" si="36"/>
        <v>0.46457607433217191</v>
      </c>
      <c r="S150" s="17" t="s">
        <v>0</v>
      </c>
      <c r="T150" s="18" t="s">
        <v>84</v>
      </c>
      <c r="U150" s="23" t="str">
        <f t="shared" si="26"/>
        <v>NO</v>
      </c>
      <c r="V150" s="124">
        <v>2</v>
      </c>
      <c r="W150" s="23" t="str">
        <f t="shared" si="32"/>
        <v>YES</v>
      </c>
      <c r="X150" s="18" t="s">
        <v>84</v>
      </c>
      <c r="Y150" s="23">
        <f t="shared" si="27"/>
        <v>3</v>
      </c>
      <c r="Z150" s="13">
        <v>2</v>
      </c>
      <c r="AA150" s="28">
        <f t="shared" si="28"/>
        <v>2</v>
      </c>
      <c r="AB150" s="17">
        <v>1</v>
      </c>
      <c r="AC150" s="24">
        <f t="shared" si="29"/>
        <v>5</v>
      </c>
      <c r="AD150" s="118" t="s">
        <v>105</v>
      </c>
      <c r="AE150" s="7">
        <v>8</v>
      </c>
      <c r="AF150" s="138">
        <v>130.96100000000001</v>
      </c>
      <c r="AG150" s="137">
        <v>368.97500000000002</v>
      </c>
      <c r="AH150" s="32">
        <v>237</v>
      </c>
      <c r="AI150" s="138">
        <v>1.57</v>
      </c>
      <c r="AJ150" s="138">
        <v>0.19400000000000001</v>
      </c>
      <c r="AK150" s="137">
        <v>7.67</v>
      </c>
      <c r="AL150" s="137">
        <v>1.57</v>
      </c>
      <c r="AM150" s="137">
        <v>52.43</v>
      </c>
      <c r="AN150" s="137">
        <v>6.3</v>
      </c>
      <c r="AO150" s="137">
        <v>18.2</v>
      </c>
      <c r="AP150" s="137">
        <v>2.4900000000000002</v>
      </c>
      <c r="AQ150" s="137">
        <v>21.98</v>
      </c>
      <c r="AR150" s="137">
        <v>3.05</v>
      </c>
      <c r="AS150" s="137">
        <v>-44.116999999999997</v>
      </c>
      <c r="AT150" s="137">
        <v>5.5670000000000002</v>
      </c>
      <c r="AU150" s="137">
        <v>8.0860000000000003</v>
      </c>
      <c r="AV150" s="137">
        <v>2.218</v>
      </c>
      <c r="AW150" s="137">
        <v>38.792999999999999</v>
      </c>
      <c r="AX150" s="137">
        <v>4.7690000000000001</v>
      </c>
      <c r="AY150" s="138">
        <v>0.40500000000000003</v>
      </c>
      <c r="AZ150" s="138">
        <v>0.08</v>
      </c>
      <c r="BA150" s="138">
        <v>0.57899999999999996</v>
      </c>
      <c r="BB150" s="138">
        <v>9.5000000000000001E-2</v>
      </c>
      <c r="BC150" s="138">
        <v>0.61699999999999999</v>
      </c>
      <c r="BD150" s="138">
        <v>0.10199999999999999</v>
      </c>
      <c r="BE150" s="138">
        <v>0.58699999999999997</v>
      </c>
      <c r="BF150" s="138">
        <v>9.5000000000000001E-2</v>
      </c>
      <c r="BG150" s="138">
        <v>0.155</v>
      </c>
      <c r="BH150" s="138">
        <v>3.4000000000000002E-2</v>
      </c>
    </row>
    <row r="151" spans="1:60" x14ac:dyDescent="0.2">
      <c r="A151" s="22">
        <v>148</v>
      </c>
      <c r="B151" s="21" t="s">
        <v>246</v>
      </c>
      <c r="C151" s="8"/>
      <c r="D151" s="140">
        <v>44629</v>
      </c>
      <c r="E151" s="17" t="s">
        <v>84</v>
      </c>
      <c r="F151" s="109" t="s">
        <v>62</v>
      </c>
      <c r="G151" s="111" t="s">
        <v>10</v>
      </c>
      <c r="H151" s="1" t="s">
        <v>81</v>
      </c>
      <c r="I151" s="75" t="s">
        <v>83</v>
      </c>
      <c r="J151" s="17" t="s">
        <v>282</v>
      </c>
      <c r="K151" s="17" t="s">
        <v>3</v>
      </c>
      <c r="L151" s="22" t="s">
        <v>84</v>
      </c>
      <c r="M151" s="124">
        <v>75.900000000000006</v>
      </c>
      <c r="N151" s="117">
        <v>1.54</v>
      </c>
      <c r="O151" s="25">
        <f t="shared" si="35"/>
        <v>32.003710575139152</v>
      </c>
      <c r="P151" s="17">
        <v>1</v>
      </c>
      <c r="Q151" s="131">
        <v>6.18</v>
      </c>
      <c r="R151" s="27">
        <f t="shared" si="36"/>
        <v>0.64724919093851141</v>
      </c>
      <c r="S151" s="17" t="s">
        <v>0</v>
      </c>
      <c r="T151" s="18" t="s">
        <v>0</v>
      </c>
      <c r="U151" s="23" t="str">
        <f t="shared" si="26"/>
        <v>NO</v>
      </c>
      <c r="V151" s="124">
        <v>22</v>
      </c>
      <c r="W151" s="23" t="str">
        <f t="shared" si="32"/>
        <v>NO</v>
      </c>
      <c r="X151" s="18" t="s">
        <v>0</v>
      </c>
      <c r="Y151" s="23">
        <f t="shared" si="27"/>
        <v>0</v>
      </c>
      <c r="Z151" s="13">
        <v>4</v>
      </c>
      <c r="AA151" s="28">
        <f t="shared" si="28"/>
        <v>3</v>
      </c>
      <c r="AB151" s="17">
        <v>3</v>
      </c>
      <c r="AC151" s="24">
        <f t="shared" si="29"/>
        <v>10</v>
      </c>
      <c r="AD151" s="117">
        <v>22.8</v>
      </c>
      <c r="AE151" s="7">
        <v>8</v>
      </c>
      <c r="AF151" s="138">
        <v>515.37400000000002</v>
      </c>
      <c r="AG151" s="137">
        <v>868.28399999999999</v>
      </c>
      <c r="AH151" s="32">
        <v>634</v>
      </c>
      <c r="AI151" s="138">
        <v>1.407</v>
      </c>
      <c r="AJ151" s="138">
        <v>0.125</v>
      </c>
      <c r="AK151" s="137">
        <v>11.4</v>
      </c>
      <c r="AL151" s="137">
        <v>1.65</v>
      </c>
      <c r="AM151" s="137">
        <v>41.65</v>
      </c>
      <c r="AN151" s="137">
        <v>4.2699999999999996</v>
      </c>
      <c r="AO151" s="137">
        <v>20.37</v>
      </c>
      <c r="AP151" s="137">
        <v>2.3199999999999998</v>
      </c>
      <c r="AQ151" s="137">
        <v>26.12</v>
      </c>
      <c r="AR151" s="137">
        <v>2.63</v>
      </c>
      <c r="AS151" s="137">
        <v>-55.707000000000001</v>
      </c>
      <c r="AT151" s="137">
        <v>6.63</v>
      </c>
      <c r="AU151" s="137">
        <v>12.494</v>
      </c>
      <c r="AV151" s="137">
        <v>2.2730000000000001</v>
      </c>
      <c r="AW151" s="137">
        <v>42.585999999999999</v>
      </c>
      <c r="AX151" s="137">
        <v>4.1239999999999997</v>
      </c>
      <c r="AY151" s="138">
        <v>0.65300000000000002</v>
      </c>
      <c r="AZ151" s="138">
        <v>8.7999999999999995E-2</v>
      </c>
      <c r="BA151" s="138">
        <v>0.85299999999999998</v>
      </c>
      <c r="BB151" s="138">
        <v>0.1</v>
      </c>
      <c r="BC151" s="138">
        <v>0.91700000000000004</v>
      </c>
      <c r="BD151" s="138">
        <v>0.104</v>
      </c>
      <c r="BE151" s="138">
        <v>0.878</v>
      </c>
      <c r="BF151" s="138">
        <v>0.10199999999999999</v>
      </c>
      <c r="BG151" s="138">
        <v>0.13100000000000001</v>
      </c>
      <c r="BH151" s="138">
        <v>0.04</v>
      </c>
    </row>
    <row r="152" spans="1:60" x14ac:dyDescent="0.2">
      <c r="A152" s="22">
        <v>149</v>
      </c>
      <c r="B152" s="21" t="s">
        <v>247</v>
      </c>
      <c r="C152" s="8"/>
      <c r="D152" s="140">
        <v>44629</v>
      </c>
      <c r="E152" s="17" t="s">
        <v>84</v>
      </c>
      <c r="F152" s="109" t="s">
        <v>62</v>
      </c>
      <c r="G152" s="111" t="s">
        <v>6</v>
      </c>
      <c r="H152" s="1" t="s">
        <v>81</v>
      </c>
      <c r="I152" s="75" t="s">
        <v>83</v>
      </c>
      <c r="J152" s="17" t="s">
        <v>284</v>
      </c>
      <c r="K152" s="17" t="s">
        <v>5</v>
      </c>
      <c r="L152" s="22" t="s">
        <v>84</v>
      </c>
      <c r="M152" s="124">
        <v>68.2</v>
      </c>
      <c r="N152" s="117">
        <v>1.61</v>
      </c>
      <c r="O152" s="25">
        <f t="shared" si="35"/>
        <v>26.31071332124532</v>
      </c>
      <c r="P152" s="17">
        <v>1</v>
      </c>
      <c r="Q152" s="131">
        <v>5.49</v>
      </c>
      <c r="R152" s="27">
        <f t="shared" si="36"/>
        <v>0.72859744990892528</v>
      </c>
      <c r="S152" s="17" t="s">
        <v>0</v>
      </c>
      <c r="T152" s="18" t="s">
        <v>0</v>
      </c>
      <c r="U152" s="23" t="str">
        <f t="shared" si="26"/>
        <v>NO</v>
      </c>
      <c r="V152" s="124">
        <v>18</v>
      </c>
      <c r="W152" s="23" t="str">
        <f t="shared" si="32"/>
        <v>YES</v>
      </c>
      <c r="X152" s="18" t="s">
        <v>0</v>
      </c>
      <c r="Y152" s="23">
        <f t="shared" si="27"/>
        <v>1</v>
      </c>
      <c r="Z152" s="13">
        <v>3</v>
      </c>
      <c r="AA152" s="28">
        <f t="shared" si="28"/>
        <v>3</v>
      </c>
      <c r="AB152" s="17">
        <v>3</v>
      </c>
      <c r="AC152" s="24">
        <f t="shared" si="29"/>
        <v>9</v>
      </c>
      <c r="AD152" s="117">
        <v>18.63</v>
      </c>
      <c r="AE152" s="5">
        <v>7</v>
      </c>
      <c r="AF152" s="138">
        <v>872.83</v>
      </c>
      <c r="AG152" s="137">
        <v>1054.2180000000001</v>
      </c>
      <c r="AH152" s="32">
        <v>981</v>
      </c>
      <c r="AI152" s="138">
        <v>1.1659999999999999</v>
      </c>
      <c r="AJ152" s="138">
        <v>0.10299999999999999</v>
      </c>
      <c r="AK152" s="137">
        <v>9.9499999999999993</v>
      </c>
      <c r="AL152" s="137">
        <v>1.47</v>
      </c>
      <c r="AM152" s="137">
        <v>42.7</v>
      </c>
      <c r="AN152" s="137">
        <v>4.24</v>
      </c>
      <c r="AO152" s="137">
        <v>20.89</v>
      </c>
      <c r="AP152" s="137">
        <v>2.54</v>
      </c>
      <c r="AQ152" s="137">
        <v>26.47</v>
      </c>
      <c r="AR152" s="137">
        <v>3.67</v>
      </c>
      <c r="AS152" s="137">
        <v>-71.677999999999997</v>
      </c>
      <c r="AT152" s="137">
        <v>8.2910000000000004</v>
      </c>
      <c r="AU152" s="137">
        <v>4.7690000000000001</v>
      </c>
      <c r="AV152" s="137">
        <v>1.181</v>
      </c>
      <c r="AW152" s="137">
        <v>50.615000000000002</v>
      </c>
      <c r="AX152" s="137">
        <v>6.407</v>
      </c>
      <c r="AY152" s="138">
        <v>0.89200000000000002</v>
      </c>
      <c r="AZ152" s="138">
        <v>0.14299999999999999</v>
      </c>
      <c r="BA152" s="138">
        <v>0.95699999999999996</v>
      </c>
      <c r="BB152" s="138">
        <v>0.13800000000000001</v>
      </c>
      <c r="BC152" s="138">
        <v>1.0009999999999999</v>
      </c>
      <c r="BD152" s="138">
        <v>0.13900000000000001</v>
      </c>
      <c r="BE152" s="138">
        <v>0.98</v>
      </c>
      <c r="BF152" s="138">
        <v>0.13800000000000001</v>
      </c>
      <c r="BG152" s="138">
        <v>6.4000000000000001E-2</v>
      </c>
      <c r="BH152" s="138">
        <v>1.6E-2</v>
      </c>
    </row>
    <row r="153" spans="1:60" x14ac:dyDescent="0.2">
      <c r="A153" s="22">
        <v>150</v>
      </c>
      <c r="B153" s="21" t="s">
        <v>248</v>
      </c>
      <c r="C153" s="110"/>
      <c r="D153" s="140">
        <v>44629</v>
      </c>
      <c r="E153" s="17" t="s">
        <v>84</v>
      </c>
      <c r="F153" s="109" t="s">
        <v>62</v>
      </c>
      <c r="G153" s="111" t="s">
        <v>9</v>
      </c>
      <c r="H153" s="1" t="s">
        <v>81</v>
      </c>
      <c r="I153" s="75" t="s">
        <v>83</v>
      </c>
      <c r="J153" s="2" t="s">
        <v>282</v>
      </c>
      <c r="K153" s="2" t="s">
        <v>3</v>
      </c>
      <c r="L153" s="22" t="s">
        <v>84</v>
      </c>
      <c r="M153" s="123">
        <v>58.6</v>
      </c>
      <c r="N153" s="116">
        <v>1.46</v>
      </c>
      <c r="O153" s="25">
        <f t="shared" si="35"/>
        <v>27.491086507787582</v>
      </c>
      <c r="P153" s="2">
        <v>1</v>
      </c>
      <c r="Q153" s="130">
        <v>16</v>
      </c>
      <c r="R153" s="27">
        <f t="shared" si="36"/>
        <v>0.25</v>
      </c>
      <c r="S153" s="2" t="s">
        <v>0</v>
      </c>
      <c r="T153" s="66" t="s">
        <v>84</v>
      </c>
      <c r="U153" s="23" t="str">
        <f t="shared" si="26"/>
        <v>YES</v>
      </c>
      <c r="V153" s="123">
        <v>10</v>
      </c>
      <c r="W153" s="23" t="str">
        <f t="shared" si="32"/>
        <v>YES</v>
      </c>
      <c r="X153" s="66" t="s">
        <v>84</v>
      </c>
      <c r="Y153" s="23">
        <f t="shared" si="27"/>
        <v>4</v>
      </c>
      <c r="Z153" s="11">
        <v>4</v>
      </c>
      <c r="AA153" s="28">
        <f t="shared" si="28"/>
        <v>1</v>
      </c>
      <c r="AB153" s="2">
        <v>1</v>
      </c>
      <c r="AC153" s="24">
        <f t="shared" si="29"/>
        <v>6</v>
      </c>
      <c r="AD153" s="118" t="s">
        <v>105</v>
      </c>
      <c r="AE153" s="5">
        <v>21</v>
      </c>
      <c r="AF153" s="138">
        <v>228.816</v>
      </c>
      <c r="AG153" s="137">
        <v>828.49900000000002</v>
      </c>
      <c r="AH153" s="32">
        <v>415</v>
      </c>
      <c r="AI153" s="138">
        <v>2.1080000000000001</v>
      </c>
      <c r="AJ153" s="138">
        <v>0.27700000000000002</v>
      </c>
      <c r="AK153" s="137">
        <v>6.64</v>
      </c>
      <c r="AL153" s="137">
        <v>1.38</v>
      </c>
      <c r="AM153" s="137">
        <v>53.35</v>
      </c>
      <c r="AN153" s="137">
        <v>7.48</v>
      </c>
      <c r="AO153" s="137">
        <v>20.91</v>
      </c>
      <c r="AP153" s="137">
        <v>3.55</v>
      </c>
      <c r="AQ153" s="137">
        <v>18.329999999999998</v>
      </c>
      <c r="AR153" s="137">
        <v>3.07</v>
      </c>
      <c r="AS153" s="137">
        <v>-58.024999999999999</v>
      </c>
      <c r="AT153" s="137">
        <v>8.7750000000000004</v>
      </c>
      <c r="AU153" s="137">
        <v>11.302</v>
      </c>
      <c r="AV153" s="137">
        <v>2.5739999999999998</v>
      </c>
      <c r="AW153" s="137">
        <v>28.454000000000001</v>
      </c>
      <c r="AX153" s="137">
        <v>4.0670000000000002</v>
      </c>
      <c r="AY153" s="138">
        <v>0.36699999999999999</v>
      </c>
      <c r="AZ153" s="138">
        <v>7.9000000000000001E-2</v>
      </c>
      <c r="BA153" s="138">
        <v>0.67700000000000005</v>
      </c>
      <c r="BB153" s="138">
        <v>0.124</v>
      </c>
      <c r="BC153" s="138">
        <v>0.77900000000000003</v>
      </c>
      <c r="BD153" s="138">
        <v>0.12</v>
      </c>
      <c r="BE153" s="138">
        <v>0.70399999999999996</v>
      </c>
      <c r="BF153" s="138">
        <v>0.126</v>
      </c>
      <c r="BG153" s="138">
        <v>0.218</v>
      </c>
      <c r="BH153" s="138">
        <v>6.2E-2</v>
      </c>
    </row>
    <row r="154" spans="1:60" x14ac:dyDescent="0.2">
      <c r="A154" s="22">
        <v>151</v>
      </c>
      <c r="B154" s="21" t="s">
        <v>249</v>
      </c>
      <c r="C154" s="110"/>
      <c r="D154" s="140">
        <v>44629</v>
      </c>
      <c r="E154" s="17" t="s">
        <v>84</v>
      </c>
      <c r="F154" s="109" t="s">
        <v>62</v>
      </c>
      <c r="G154" s="111" t="s">
        <v>7</v>
      </c>
      <c r="H154" s="1" t="s">
        <v>81</v>
      </c>
      <c r="I154" s="75" t="s">
        <v>83</v>
      </c>
      <c r="J154" s="2" t="s">
        <v>284</v>
      </c>
      <c r="K154" s="17" t="s">
        <v>3</v>
      </c>
      <c r="L154" s="22" t="s">
        <v>84</v>
      </c>
      <c r="M154" s="123">
        <v>46</v>
      </c>
      <c r="N154" s="116">
        <v>1.56</v>
      </c>
      <c r="O154" s="25">
        <f t="shared" si="35"/>
        <v>18.902038132807363</v>
      </c>
      <c r="P154" s="2">
        <v>1</v>
      </c>
      <c r="Q154" s="130">
        <v>19.920000000000002</v>
      </c>
      <c r="R154" s="27">
        <f t="shared" si="36"/>
        <v>0.20080321285140559</v>
      </c>
      <c r="S154" s="2" t="s">
        <v>0</v>
      </c>
      <c r="T154" s="66" t="s">
        <v>84</v>
      </c>
      <c r="U154" s="23" t="str">
        <f t="shared" si="26"/>
        <v>YES</v>
      </c>
      <c r="V154" s="123">
        <v>13</v>
      </c>
      <c r="W154" s="23" t="str">
        <f t="shared" si="32"/>
        <v>NO</v>
      </c>
      <c r="X154" s="66" t="s">
        <v>84</v>
      </c>
      <c r="Y154" s="23">
        <f t="shared" si="27"/>
        <v>3</v>
      </c>
      <c r="Z154" s="11">
        <v>3</v>
      </c>
      <c r="AA154" s="28">
        <f t="shared" si="28"/>
        <v>1</v>
      </c>
      <c r="AB154" s="2">
        <v>1</v>
      </c>
      <c r="AC154" s="24">
        <f t="shared" si="29"/>
        <v>5</v>
      </c>
      <c r="AD154" s="118" t="s">
        <v>105</v>
      </c>
      <c r="AE154" s="5">
        <v>22</v>
      </c>
      <c r="AF154" s="138">
        <v>133.39599999999999</v>
      </c>
      <c r="AG154" s="137">
        <v>672.09400000000005</v>
      </c>
      <c r="AH154" s="32">
        <v>404</v>
      </c>
      <c r="AI154" s="138">
        <v>1.6839999999999999</v>
      </c>
      <c r="AJ154" s="138">
        <v>0.248</v>
      </c>
      <c r="AK154" s="137">
        <v>0.71</v>
      </c>
      <c r="AL154" s="137">
        <v>0.25</v>
      </c>
      <c r="AM154" s="137">
        <v>67.81</v>
      </c>
      <c r="AN154" s="137">
        <v>7.05</v>
      </c>
      <c r="AO154" s="137">
        <v>13.34</v>
      </c>
      <c r="AP154" s="137">
        <v>2.59</v>
      </c>
      <c r="AQ154" s="137">
        <v>17.73</v>
      </c>
      <c r="AR154" s="137">
        <v>3.39</v>
      </c>
      <c r="AS154" s="137">
        <v>-27.84</v>
      </c>
      <c r="AT154" s="137">
        <v>3.4020000000000001</v>
      </c>
      <c r="AU154" s="137">
        <v>3.5999999999999997E-2</v>
      </c>
      <c r="AV154" s="137">
        <v>0.01</v>
      </c>
      <c r="AW154" s="137">
        <v>36.249000000000002</v>
      </c>
      <c r="AX154" s="137">
        <v>5.0990000000000002</v>
      </c>
      <c r="AY154" s="138">
        <v>0.26500000000000001</v>
      </c>
      <c r="AZ154" s="138">
        <v>5.5E-2</v>
      </c>
      <c r="BA154" s="138">
        <v>0.37</v>
      </c>
      <c r="BB154" s="138">
        <v>7.3999999999999996E-2</v>
      </c>
      <c r="BC154" s="138">
        <v>0.42899999999999999</v>
      </c>
      <c r="BD154" s="138">
        <v>7.1999999999999995E-2</v>
      </c>
      <c r="BE154" s="138">
        <v>0.376</v>
      </c>
      <c r="BF154" s="138">
        <v>7.4999999999999997E-2</v>
      </c>
      <c r="BG154" s="138">
        <v>0.182</v>
      </c>
      <c r="BH154" s="138">
        <v>0.05</v>
      </c>
    </row>
    <row r="155" spans="1:60" x14ac:dyDescent="0.2">
      <c r="A155" s="22">
        <v>152</v>
      </c>
      <c r="B155" s="21" t="s">
        <v>250</v>
      </c>
      <c r="C155" s="110"/>
      <c r="D155" s="140">
        <v>44629</v>
      </c>
      <c r="E155" s="17" t="s">
        <v>84</v>
      </c>
      <c r="F155" s="109" t="s">
        <v>62</v>
      </c>
      <c r="G155" s="111" t="s">
        <v>1</v>
      </c>
      <c r="H155" s="1" t="s">
        <v>81</v>
      </c>
      <c r="I155" s="75" t="s">
        <v>83</v>
      </c>
      <c r="J155" s="2" t="s">
        <v>282</v>
      </c>
      <c r="K155" s="17" t="s">
        <v>3</v>
      </c>
      <c r="L155" s="22" t="s">
        <v>84</v>
      </c>
      <c r="M155" s="123">
        <v>71.2</v>
      </c>
      <c r="N155" s="116">
        <v>1.59</v>
      </c>
      <c r="O155" s="25">
        <f t="shared" si="35"/>
        <v>28.163442901783945</v>
      </c>
      <c r="P155" s="2">
        <v>2</v>
      </c>
      <c r="Q155" s="130">
        <v>8.6</v>
      </c>
      <c r="R155" s="27">
        <f t="shared" si="36"/>
        <v>0.46511627906976744</v>
      </c>
      <c r="S155" s="2" t="s">
        <v>0</v>
      </c>
      <c r="T155" s="66" t="s">
        <v>84</v>
      </c>
      <c r="U155" s="23" t="str">
        <f t="shared" si="26"/>
        <v>NO</v>
      </c>
      <c r="V155" s="123">
        <v>7</v>
      </c>
      <c r="W155" s="23" t="str">
        <f t="shared" si="32"/>
        <v>YES</v>
      </c>
      <c r="X155" s="66" t="s">
        <v>84</v>
      </c>
      <c r="Y155" s="23">
        <f t="shared" si="27"/>
        <v>3</v>
      </c>
      <c r="Z155" s="11">
        <v>3</v>
      </c>
      <c r="AA155" s="28">
        <f t="shared" si="28"/>
        <v>2</v>
      </c>
      <c r="AB155" s="2">
        <v>1</v>
      </c>
      <c r="AC155" s="24">
        <f t="shared" si="29"/>
        <v>6</v>
      </c>
      <c r="AD155" s="118" t="s">
        <v>105</v>
      </c>
      <c r="AE155" s="5">
        <v>7</v>
      </c>
      <c r="AF155" s="138">
        <v>368.05099999999999</v>
      </c>
      <c r="AG155" s="137">
        <v>806.35</v>
      </c>
      <c r="AH155" s="32">
        <v>747</v>
      </c>
      <c r="AI155" s="138">
        <v>1.1819999999999999</v>
      </c>
      <c r="AJ155" s="138">
        <v>0.127</v>
      </c>
      <c r="AK155" s="137">
        <v>9.81</v>
      </c>
      <c r="AL155" s="137">
        <v>1.84</v>
      </c>
      <c r="AM155" s="137">
        <v>46.63</v>
      </c>
      <c r="AN155" s="137">
        <v>5.37</v>
      </c>
      <c r="AO155" s="137">
        <v>17.5</v>
      </c>
      <c r="AP155" s="137">
        <v>2.65</v>
      </c>
      <c r="AQ155" s="137">
        <v>25.56</v>
      </c>
      <c r="AR155" s="137">
        <v>3.2</v>
      </c>
      <c r="AS155" s="137">
        <v>-38.667999999999999</v>
      </c>
      <c r="AT155" s="137">
        <v>6.383</v>
      </c>
      <c r="AU155" s="137">
        <v>8.0169999999999995</v>
      </c>
      <c r="AV155" s="137">
        <v>1.7949999999999999</v>
      </c>
      <c r="AW155" s="137">
        <v>49.843000000000004</v>
      </c>
      <c r="AX155" s="137">
        <v>7.0380000000000003</v>
      </c>
      <c r="AY155" s="138">
        <v>0.55400000000000005</v>
      </c>
      <c r="AZ155" s="138">
        <v>0.1</v>
      </c>
      <c r="BA155" s="138">
        <v>0.57799999999999996</v>
      </c>
      <c r="BB155" s="138">
        <v>8.8999999999999996E-2</v>
      </c>
      <c r="BC155" s="138">
        <v>0.63800000000000001</v>
      </c>
      <c r="BD155" s="138">
        <v>0.1</v>
      </c>
      <c r="BE155" s="138">
        <v>0.58699999999999997</v>
      </c>
      <c r="BF155" s="138">
        <v>9.2999999999999999E-2</v>
      </c>
      <c r="BG155" s="138">
        <v>0.16900000000000001</v>
      </c>
      <c r="BH155" s="138">
        <v>4.4999999999999998E-2</v>
      </c>
    </row>
    <row r="156" spans="1:60" x14ac:dyDescent="0.2">
      <c r="A156" s="22">
        <v>153</v>
      </c>
      <c r="B156" s="21" t="s">
        <v>251</v>
      </c>
      <c r="C156" s="110"/>
      <c r="D156" s="140">
        <v>44629</v>
      </c>
      <c r="E156" s="17" t="s">
        <v>84</v>
      </c>
      <c r="F156" s="109" t="s">
        <v>62</v>
      </c>
      <c r="G156" s="111" t="s">
        <v>6</v>
      </c>
      <c r="H156" s="1" t="s">
        <v>81</v>
      </c>
      <c r="I156" s="75" t="s">
        <v>83</v>
      </c>
      <c r="J156" s="2" t="s">
        <v>284</v>
      </c>
      <c r="K156" s="17" t="s">
        <v>3</v>
      </c>
      <c r="L156" s="22" t="s">
        <v>84</v>
      </c>
      <c r="M156" s="123">
        <v>41.2</v>
      </c>
      <c r="N156" s="116">
        <v>1.52</v>
      </c>
      <c r="O156" s="25">
        <f t="shared" si="35"/>
        <v>17.832409972299171</v>
      </c>
      <c r="P156" s="2">
        <v>5</v>
      </c>
      <c r="Q156" s="130">
        <v>8.23</v>
      </c>
      <c r="R156" s="27">
        <f t="shared" si="36"/>
        <v>0.48602673147023084</v>
      </c>
      <c r="S156" s="2" t="s">
        <v>0</v>
      </c>
      <c r="T156" s="66" t="s">
        <v>84</v>
      </c>
      <c r="U156" s="23" t="str">
        <f t="shared" si="26"/>
        <v>NO</v>
      </c>
      <c r="V156" s="123">
        <v>7</v>
      </c>
      <c r="W156" s="23" t="str">
        <f t="shared" si="32"/>
        <v>YES</v>
      </c>
      <c r="X156" s="66" t="s">
        <v>84</v>
      </c>
      <c r="Y156" s="23">
        <f t="shared" si="27"/>
        <v>3</v>
      </c>
      <c r="Z156" s="11">
        <v>3</v>
      </c>
      <c r="AA156" s="28">
        <f t="shared" si="28"/>
        <v>2</v>
      </c>
      <c r="AB156" s="2">
        <v>2</v>
      </c>
      <c r="AC156" s="24">
        <f t="shared" si="29"/>
        <v>7</v>
      </c>
      <c r="AD156" s="118" t="s">
        <v>105</v>
      </c>
      <c r="AE156" s="5">
        <v>7</v>
      </c>
      <c r="AF156" s="138">
        <v>298.41500000000002</v>
      </c>
      <c r="AG156" s="137">
        <v>564.78800000000001</v>
      </c>
      <c r="AH156" s="32">
        <v>537</v>
      </c>
      <c r="AI156" s="138">
        <v>1.0880000000000001</v>
      </c>
      <c r="AJ156" s="138">
        <v>8.5999999999999993E-2</v>
      </c>
      <c r="AK156" s="137">
        <v>9.3699999999999992</v>
      </c>
      <c r="AL156" s="137">
        <v>1.37</v>
      </c>
      <c r="AM156" s="137">
        <v>49.75</v>
      </c>
      <c r="AN156" s="137">
        <v>4.6399999999999997</v>
      </c>
      <c r="AO156" s="137">
        <v>15.77</v>
      </c>
      <c r="AP156" s="137">
        <v>1.53</v>
      </c>
      <c r="AQ156" s="137">
        <v>26.26</v>
      </c>
      <c r="AR156" s="137">
        <v>3.09</v>
      </c>
      <c r="AS156" s="137">
        <v>-38.006</v>
      </c>
      <c r="AT156" s="137">
        <v>4.3090000000000002</v>
      </c>
      <c r="AU156" s="137">
        <v>3.91</v>
      </c>
      <c r="AV156" s="137">
        <v>0.80800000000000005</v>
      </c>
      <c r="AW156" s="137">
        <v>54.744999999999997</v>
      </c>
      <c r="AX156" s="137">
        <v>5.5979999999999999</v>
      </c>
      <c r="AY156" s="138">
        <v>0.58099999999999996</v>
      </c>
      <c r="AZ156" s="138">
        <v>8.5999999999999993E-2</v>
      </c>
      <c r="BA156" s="138">
        <v>0.60799999999999998</v>
      </c>
      <c r="BB156" s="138">
        <v>8.5000000000000006E-2</v>
      </c>
      <c r="BC156" s="138">
        <v>0.63300000000000001</v>
      </c>
      <c r="BD156" s="138">
        <v>8.6999999999999994E-2</v>
      </c>
      <c r="BE156" s="138">
        <v>0.622</v>
      </c>
      <c r="BF156" s="138">
        <v>8.5999999999999993E-2</v>
      </c>
      <c r="BG156" s="138">
        <v>4.1000000000000002E-2</v>
      </c>
      <c r="BH156" s="138">
        <v>8.9999999999999993E-3</v>
      </c>
    </row>
    <row r="157" spans="1:60" x14ac:dyDescent="0.2">
      <c r="A157" s="22">
        <v>154</v>
      </c>
      <c r="B157" s="21" t="s">
        <v>252</v>
      </c>
      <c r="C157" s="110"/>
      <c r="D157" s="140">
        <v>44629</v>
      </c>
      <c r="E157" s="17" t="s">
        <v>84</v>
      </c>
      <c r="F157" s="109" t="s">
        <v>62</v>
      </c>
      <c r="G157" s="111" t="s">
        <v>10</v>
      </c>
      <c r="H157" s="1" t="s">
        <v>81</v>
      </c>
      <c r="I157" s="75" t="s">
        <v>83</v>
      </c>
      <c r="J157" s="2" t="s">
        <v>282</v>
      </c>
      <c r="K157" s="2" t="s">
        <v>3</v>
      </c>
      <c r="L157" s="22" t="s">
        <v>84</v>
      </c>
      <c r="M157" s="123">
        <v>68</v>
      </c>
      <c r="N157" s="116">
        <v>1.52</v>
      </c>
      <c r="O157" s="25">
        <f t="shared" si="35"/>
        <v>29.43213296398892</v>
      </c>
      <c r="P157" s="2">
        <v>1</v>
      </c>
      <c r="Q157" s="130">
        <v>13.14</v>
      </c>
      <c r="R157" s="27">
        <f t="shared" si="36"/>
        <v>0.30441400304414001</v>
      </c>
      <c r="S157" s="2" t="s">
        <v>0</v>
      </c>
      <c r="T157" s="66" t="s">
        <v>0</v>
      </c>
      <c r="U157" s="23" t="str">
        <f t="shared" si="26"/>
        <v>YES</v>
      </c>
      <c r="V157" s="123">
        <v>7.5</v>
      </c>
      <c r="W157" s="23" t="str">
        <f t="shared" si="32"/>
        <v>YES</v>
      </c>
      <c r="X157" s="66" t="s">
        <v>84</v>
      </c>
      <c r="Y157" s="23">
        <f t="shared" si="27"/>
        <v>3</v>
      </c>
      <c r="Z157" s="11">
        <v>2</v>
      </c>
      <c r="AA157" s="28">
        <f t="shared" si="28"/>
        <v>1</v>
      </c>
      <c r="AB157" s="2">
        <v>3</v>
      </c>
      <c r="AC157" s="24">
        <f t="shared" si="29"/>
        <v>6</v>
      </c>
      <c r="AD157" s="118" t="s">
        <v>105</v>
      </c>
      <c r="AE157" s="5">
        <v>7</v>
      </c>
      <c r="AF157" s="138">
        <v>325.96600000000001</v>
      </c>
      <c r="AG157" s="137">
        <v>641.39200000000005</v>
      </c>
      <c r="AH157" s="32">
        <v>584</v>
      </c>
      <c r="AI157" s="138">
        <v>1.1579999999999999</v>
      </c>
      <c r="AJ157" s="138">
        <v>0.13700000000000001</v>
      </c>
      <c r="AK157" s="137">
        <v>8.5500000000000007</v>
      </c>
      <c r="AL157" s="137">
        <v>1.71</v>
      </c>
      <c r="AM157" s="137">
        <v>49.12</v>
      </c>
      <c r="AN157" s="137">
        <v>7.08</v>
      </c>
      <c r="AO157" s="137">
        <v>18.34</v>
      </c>
      <c r="AP157" s="137">
        <v>2.57</v>
      </c>
      <c r="AQ157" s="137">
        <v>24.67</v>
      </c>
      <c r="AR157" s="137">
        <v>4.33</v>
      </c>
      <c r="AS157" s="137">
        <v>-45.686999999999998</v>
      </c>
      <c r="AT157" s="137">
        <v>8.0069999999999997</v>
      </c>
      <c r="AU157" s="137">
        <v>2.9630000000000001</v>
      </c>
      <c r="AV157" s="137">
        <v>0.89</v>
      </c>
      <c r="AW157" s="137">
        <v>51.573</v>
      </c>
      <c r="AX157" s="137">
        <v>7.141</v>
      </c>
      <c r="AY157" s="138">
        <v>0.57099999999999995</v>
      </c>
      <c r="AZ157" s="138">
        <v>0.14000000000000001</v>
      </c>
      <c r="BA157" s="138">
        <v>0.65100000000000002</v>
      </c>
      <c r="BB157" s="138">
        <v>0.13800000000000001</v>
      </c>
      <c r="BC157" s="138">
        <v>0.67600000000000005</v>
      </c>
      <c r="BD157" s="138">
        <v>0.14099999999999999</v>
      </c>
      <c r="BE157" s="138">
        <v>0.65900000000000003</v>
      </c>
      <c r="BF157" s="138">
        <v>0.13900000000000001</v>
      </c>
      <c r="BG157" s="138">
        <v>8.2000000000000003E-2</v>
      </c>
      <c r="BH157" s="138">
        <v>2.3E-2</v>
      </c>
    </row>
    <row r="158" spans="1:60" x14ac:dyDescent="0.2">
      <c r="A158" s="22">
        <v>155</v>
      </c>
      <c r="B158" s="21" t="s">
        <v>253</v>
      </c>
      <c r="C158" s="110"/>
      <c r="D158" s="140">
        <v>44629</v>
      </c>
      <c r="E158" s="17" t="s">
        <v>84</v>
      </c>
      <c r="F158" s="109" t="s">
        <v>62</v>
      </c>
      <c r="G158" s="111" t="s">
        <v>6</v>
      </c>
      <c r="H158" s="1" t="s">
        <v>81</v>
      </c>
      <c r="I158" s="75" t="s">
        <v>83</v>
      </c>
      <c r="J158" s="2" t="s">
        <v>279</v>
      </c>
      <c r="K158" s="2" t="s">
        <v>5</v>
      </c>
      <c r="L158" s="22" t="s">
        <v>84</v>
      </c>
      <c r="M158" s="123">
        <v>59</v>
      </c>
      <c r="N158" s="116">
        <v>1.57</v>
      </c>
      <c r="O158" s="25">
        <f t="shared" si="35"/>
        <v>23.936062314901211</v>
      </c>
      <c r="P158" s="2">
        <v>1</v>
      </c>
      <c r="Q158" s="130">
        <v>10.59</v>
      </c>
      <c r="R158" s="27">
        <f t="shared" si="36"/>
        <v>0.37771482530689332</v>
      </c>
      <c r="S158" s="2" t="s">
        <v>0</v>
      </c>
      <c r="T158" s="66" t="s">
        <v>84</v>
      </c>
      <c r="U158" s="23" t="str">
        <f t="shared" si="26"/>
        <v>YES</v>
      </c>
      <c r="V158" s="123">
        <v>13</v>
      </c>
      <c r="W158" s="23" t="str">
        <f t="shared" si="32"/>
        <v>YES</v>
      </c>
      <c r="X158" s="66" t="s">
        <v>84</v>
      </c>
      <c r="Y158" s="23">
        <f t="shared" si="27"/>
        <v>4</v>
      </c>
      <c r="Z158" s="11">
        <v>2</v>
      </c>
      <c r="AA158" s="28">
        <f t="shared" si="28"/>
        <v>1</v>
      </c>
      <c r="AB158" s="2">
        <v>3</v>
      </c>
      <c r="AC158" s="24">
        <f t="shared" si="29"/>
        <v>6</v>
      </c>
      <c r="AD158" s="118" t="s">
        <v>105</v>
      </c>
      <c r="AE158" s="5">
        <v>19</v>
      </c>
      <c r="AF158" s="138">
        <v>264.01900000000001</v>
      </c>
      <c r="AG158" s="137">
        <v>899.15200000000004</v>
      </c>
      <c r="AH158" s="32">
        <v>855</v>
      </c>
      <c r="AI158" s="138">
        <v>1.103</v>
      </c>
      <c r="AJ158" s="138">
        <v>0.112</v>
      </c>
      <c r="AK158" s="137">
        <v>4.08</v>
      </c>
      <c r="AL158" s="137">
        <v>0.79</v>
      </c>
      <c r="AM158" s="137">
        <v>59.1</v>
      </c>
      <c r="AN158" s="137">
        <v>6.42</v>
      </c>
      <c r="AO158" s="137">
        <v>17.54</v>
      </c>
      <c r="AP158" s="137">
        <v>2.17</v>
      </c>
      <c r="AQ158" s="137">
        <v>20.14</v>
      </c>
      <c r="AR158" s="137">
        <v>2.8</v>
      </c>
      <c r="AS158" s="137">
        <v>-35.81</v>
      </c>
      <c r="AT158" s="137">
        <v>8.5519999999999996</v>
      </c>
      <c r="AU158" s="137">
        <v>2.036</v>
      </c>
      <c r="AV158" s="137">
        <v>0.48699999999999999</v>
      </c>
      <c r="AW158" s="137">
        <v>53.911999999999999</v>
      </c>
      <c r="AX158" s="137">
        <v>7.194</v>
      </c>
      <c r="AY158" s="138">
        <v>0.38900000000000001</v>
      </c>
      <c r="AZ158" s="138">
        <v>9.5000000000000001E-2</v>
      </c>
      <c r="BA158" s="138">
        <v>0.39600000000000002</v>
      </c>
      <c r="BB158" s="138">
        <v>9.9000000000000005E-2</v>
      </c>
      <c r="BC158" s="138">
        <v>0.438</v>
      </c>
      <c r="BD158" s="138">
        <v>0.109</v>
      </c>
      <c r="BE158" s="138">
        <v>0.40600000000000003</v>
      </c>
      <c r="BF158" s="138">
        <v>0.1</v>
      </c>
      <c r="BG158" s="138">
        <v>8.8999999999999996E-2</v>
      </c>
      <c r="BH158" s="138">
        <v>2.7E-2</v>
      </c>
    </row>
    <row r="159" spans="1:60" x14ac:dyDescent="0.2">
      <c r="A159" s="22">
        <v>156</v>
      </c>
      <c r="B159" s="21" t="s">
        <v>254</v>
      </c>
      <c r="C159" s="110"/>
      <c r="D159" s="140">
        <v>44629</v>
      </c>
      <c r="E159" s="17" t="s">
        <v>84</v>
      </c>
      <c r="F159" s="109" t="s">
        <v>62</v>
      </c>
      <c r="G159" s="111" t="s">
        <v>7</v>
      </c>
      <c r="H159" s="1" t="s">
        <v>81</v>
      </c>
      <c r="I159" s="75" t="s">
        <v>83</v>
      </c>
      <c r="J159" s="2" t="s">
        <v>281</v>
      </c>
      <c r="K159" s="2" t="s">
        <v>5</v>
      </c>
      <c r="L159" s="22" t="s">
        <v>84</v>
      </c>
      <c r="M159" s="123">
        <v>82.6</v>
      </c>
      <c r="N159" s="116">
        <v>1.58</v>
      </c>
      <c r="O159" s="25">
        <f t="shared" si="35"/>
        <v>33.087646210543177</v>
      </c>
      <c r="P159" s="2">
        <v>1</v>
      </c>
      <c r="Q159" s="130">
        <v>17.2</v>
      </c>
      <c r="R159" s="27">
        <f t="shared" si="36"/>
        <v>0.23255813953488372</v>
      </c>
      <c r="S159" s="2" t="s">
        <v>0</v>
      </c>
      <c r="T159" s="66" t="s">
        <v>0</v>
      </c>
      <c r="U159" s="23" t="str">
        <f t="shared" si="26"/>
        <v>YES</v>
      </c>
      <c r="V159" s="123">
        <v>11</v>
      </c>
      <c r="W159" s="23" t="str">
        <f t="shared" si="32"/>
        <v>YES</v>
      </c>
      <c r="X159" s="66" t="s">
        <v>84</v>
      </c>
      <c r="Y159" s="23">
        <f t="shared" si="27"/>
        <v>3</v>
      </c>
      <c r="Z159" s="11">
        <v>4</v>
      </c>
      <c r="AA159" s="28">
        <f t="shared" si="28"/>
        <v>1</v>
      </c>
      <c r="AB159" s="2">
        <v>1</v>
      </c>
      <c r="AC159" s="24">
        <f t="shared" si="29"/>
        <v>6</v>
      </c>
      <c r="AD159" s="118" t="s">
        <v>105</v>
      </c>
      <c r="AE159" s="5">
        <v>8</v>
      </c>
      <c r="AF159" s="138">
        <v>73.016000000000005</v>
      </c>
      <c r="AG159" s="137">
        <v>516.07799999999997</v>
      </c>
      <c r="AH159" s="32">
        <v>213</v>
      </c>
      <c r="AI159" s="138">
        <v>2.4460000000000002</v>
      </c>
      <c r="AJ159" s="138">
        <v>0.316</v>
      </c>
      <c r="AK159" s="137">
        <v>1.07</v>
      </c>
      <c r="AL159" s="137">
        <v>0.28999999999999998</v>
      </c>
      <c r="AM159" s="137">
        <v>64.92</v>
      </c>
      <c r="AN159" s="137">
        <v>5.87</v>
      </c>
      <c r="AO159" s="137">
        <v>17.63</v>
      </c>
      <c r="AP159" s="137">
        <v>3.65</v>
      </c>
      <c r="AQ159" s="137">
        <v>16.100000000000001</v>
      </c>
      <c r="AR159" s="137">
        <v>3.1</v>
      </c>
      <c r="AS159" s="137">
        <v>-51.988</v>
      </c>
      <c r="AT159" s="137">
        <v>4.9420000000000002</v>
      </c>
      <c r="AU159" s="137">
        <v>0.19500000000000001</v>
      </c>
      <c r="AV159" s="137">
        <v>5.2999999999999999E-2</v>
      </c>
      <c r="AW159" s="137">
        <v>24.728000000000002</v>
      </c>
      <c r="AX159" s="137">
        <v>3.302</v>
      </c>
      <c r="AY159" s="138">
        <v>0.23300000000000001</v>
      </c>
      <c r="AZ159" s="138">
        <v>3.4000000000000002E-2</v>
      </c>
      <c r="BA159" s="138">
        <v>0.39500000000000002</v>
      </c>
      <c r="BB159" s="138">
        <v>0.09</v>
      </c>
      <c r="BC159" s="138">
        <v>0.57999999999999996</v>
      </c>
      <c r="BD159" s="138">
        <v>7.9000000000000001E-2</v>
      </c>
      <c r="BE159" s="138">
        <v>0.48</v>
      </c>
      <c r="BF159" s="138">
        <v>0.09</v>
      </c>
      <c r="BG159" s="138">
        <v>0.255</v>
      </c>
      <c r="BH159" s="138">
        <v>6.9000000000000006E-2</v>
      </c>
    </row>
    <row r="160" spans="1:60" ht="16" x14ac:dyDescent="0.2">
      <c r="A160" s="22">
        <v>157</v>
      </c>
      <c r="B160" s="21" t="s">
        <v>255</v>
      </c>
      <c r="C160" s="113" t="s">
        <v>270</v>
      </c>
      <c r="D160" s="140">
        <v>44630</v>
      </c>
      <c r="E160" s="17" t="s">
        <v>84</v>
      </c>
      <c r="F160" s="109" t="s">
        <v>62</v>
      </c>
      <c r="G160" s="111" t="s">
        <v>13</v>
      </c>
      <c r="H160" s="1" t="s">
        <v>80</v>
      </c>
      <c r="I160" s="75" t="s">
        <v>83</v>
      </c>
      <c r="J160" s="1" t="s">
        <v>284</v>
      </c>
      <c r="K160" s="1" t="s">
        <v>3</v>
      </c>
      <c r="L160" s="21" t="s">
        <v>0</v>
      </c>
      <c r="M160" s="125">
        <v>76</v>
      </c>
      <c r="N160" s="118">
        <v>1.51</v>
      </c>
      <c r="O160" s="25">
        <f t="shared" si="35"/>
        <v>33.331871409148718</v>
      </c>
      <c r="P160" s="1">
        <v>3</v>
      </c>
      <c r="Q160" s="132">
        <v>9.98</v>
      </c>
      <c r="R160" s="27">
        <f t="shared" si="36"/>
        <v>0.40080160320641278</v>
      </c>
      <c r="S160" s="1" t="s">
        <v>0</v>
      </c>
      <c r="T160" s="67" t="s">
        <v>0</v>
      </c>
      <c r="U160" s="23" t="str">
        <f t="shared" si="26"/>
        <v>YES</v>
      </c>
      <c r="V160" s="125">
        <v>20</v>
      </c>
      <c r="W160" s="23" t="str">
        <f t="shared" si="32"/>
        <v>NO</v>
      </c>
      <c r="X160" s="67" t="s">
        <v>84</v>
      </c>
      <c r="Y160" s="23">
        <f t="shared" si="27"/>
        <v>2</v>
      </c>
      <c r="Z160" s="12">
        <v>2</v>
      </c>
      <c r="AA160" s="28">
        <f t="shared" si="28"/>
        <v>1</v>
      </c>
      <c r="AB160" s="1">
        <v>3</v>
      </c>
      <c r="AC160" s="24">
        <f t="shared" si="29"/>
        <v>6</v>
      </c>
      <c r="AD160" s="118">
        <v>18.239999999999998</v>
      </c>
      <c r="AE160" s="6">
        <v>9</v>
      </c>
      <c r="AF160" s="138">
        <v>427.6</v>
      </c>
      <c r="AG160" s="137">
        <v>857.43600000000004</v>
      </c>
      <c r="AH160" s="32">
        <v>560</v>
      </c>
      <c r="AI160" s="138">
        <v>1.5509999999999999</v>
      </c>
      <c r="AJ160" s="138">
        <v>0.14299999999999999</v>
      </c>
      <c r="AK160" s="137">
        <v>10.220000000000001</v>
      </c>
      <c r="AL160" s="137">
        <v>2.15</v>
      </c>
      <c r="AM160" s="137">
        <v>46.98</v>
      </c>
      <c r="AN160" s="137">
        <v>4.3899999999999997</v>
      </c>
      <c r="AO160" s="137">
        <v>14.28</v>
      </c>
      <c r="AP160" s="137">
        <v>1.35</v>
      </c>
      <c r="AQ160" s="137">
        <v>28.49</v>
      </c>
      <c r="AR160" s="137">
        <v>2.27</v>
      </c>
      <c r="AS160" s="137">
        <v>-41.579000000000001</v>
      </c>
      <c r="AT160" s="137">
        <v>4.008</v>
      </c>
      <c r="AU160" s="137">
        <v>13.465999999999999</v>
      </c>
      <c r="AV160" s="137">
        <v>2.3149999999999999</v>
      </c>
      <c r="AW160" s="137">
        <v>38.817</v>
      </c>
      <c r="AX160" s="137">
        <v>3.2690000000000001</v>
      </c>
      <c r="AY160" s="138">
        <v>0.55500000000000005</v>
      </c>
      <c r="AZ160" s="138">
        <v>6.4000000000000001E-2</v>
      </c>
      <c r="BA160" s="138">
        <v>0.80800000000000005</v>
      </c>
      <c r="BB160" s="138">
        <v>8.2000000000000003E-2</v>
      </c>
      <c r="BC160" s="138">
        <v>0.85599999999999998</v>
      </c>
      <c r="BD160" s="138">
        <v>8.5999999999999993E-2</v>
      </c>
      <c r="BE160" s="138">
        <v>0.82499999999999996</v>
      </c>
      <c r="BF160" s="138">
        <v>8.2000000000000003E-2</v>
      </c>
      <c r="BG160" s="138">
        <v>0.111</v>
      </c>
      <c r="BH160" s="138">
        <v>3.1E-2</v>
      </c>
    </row>
    <row r="161" spans="1:60" ht="16" x14ac:dyDescent="0.2">
      <c r="A161" s="22">
        <v>158</v>
      </c>
      <c r="B161" s="21" t="s">
        <v>256</v>
      </c>
      <c r="C161" s="113" t="s">
        <v>270</v>
      </c>
      <c r="D161" s="140">
        <v>44631</v>
      </c>
      <c r="E161" s="17" t="s">
        <v>84</v>
      </c>
      <c r="F161" s="109" t="s">
        <v>62</v>
      </c>
      <c r="G161" s="111" t="s">
        <v>13</v>
      </c>
      <c r="H161" s="1" t="s">
        <v>80</v>
      </c>
      <c r="I161" s="75" t="s">
        <v>83</v>
      </c>
      <c r="J161" s="1" t="s">
        <v>279</v>
      </c>
      <c r="K161" s="1" t="s">
        <v>5</v>
      </c>
      <c r="L161" s="21" t="s">
        <v>0</v>
      </c>
      <c r="M161" s="125">
        <v>82</v>
      </c>
      <c r="N161" s="118">
        <v>1.58</v>
      </c>
      <c r="O161" s="25">
        <f t="shared" si="35"/>
        <v>32.847300112161506</v>
      </c>
      <c r="P161" s="1">
        <v>2</v>
      </c>
      <c r="Q161" s="132">
        <v>5.19</v>
      </c>
      <c r="R161" s="27">
        <f t="shared" si="36"/>
        <v>0.77071290944123305</v>
      </c>
      <c r="S161" s="1" t="s">
        <v>0</v>
      </c>
      <c r="T161" s="67" t="s">
        <v>0</v>
      </c>
      <c r="U161" s="23" t="str">
        <f t="shared" si="26"/>
        <v>NO</v>
      </c>
      <c r="V161" s="125">
        <v>28</v>
      </c>
      <c r="W161" s="23" t="str">
        <f t="shared" si="32"/>
        <v>NO</v>
      </c>
      <c r="X161" s="67" t="s">
        <v>84</v>
      </c>
      <c r="Y161" s="23">
        <f t="shared" si="27"/>
        <v>1</v>
      </c>
      <c r="Z161" s="12">
        <v>2</v>
      </c>
      <c r="AA161" s="28">
        <f t="shared" si="28"/>
        <v>3</v>
      </c>
      <c r="AB161" s="1">
        <v>3</v>
      </c>
      <c r="AC161" s="24">
        <f t="shared" si="29"/>
        <v>8</v>
      </c>
      <c r="AD161" s="118">
        <v>15.18</v>
      </c>
      <c r="AE161" s="6">
        <v>11</v>
      </c>
      <c r="AF161" s="138">
        <v>406.14</v>
      </c>
      <c r="AG161" s="137">
        <v>635.50400000000002</v>
      </c>
      <c r="AH161" s="32">
        <v>486</v>
      </c>
      <c r="AI161" s="138">
        <v>1.3380000000000001</v>
      </c>
      <c r="AJ161" s="138">
        <v>9.9000000000000005E-2</v>
      </c>
      <c r="AK161" s="137">
        <v>11.4</v>
      </c>
      <c r="AL161" s="137">
        <v>1.6</v>
      </c>
      <c r="AM161" s="137">
        <v>44.72</v>
      </c>
      <c r="AN161" s="137">
        <v>4.16</v>
      </c>
      <c r="AO161" s="137">
        <v>15.6</v>
      </c>
      <c r="AP161" s="137">
        <v>1.53</v>
      </c>
      <c r="AQ161" s="137">
        <v>28.13</v>
      </c>
      <c r="AR161" s="137">
        <v>2.4</v>
      </c>
      <c r="AS161" s="137">
        <v>-45.878</v>
      </c>
      <c r="AT161" s="137">
        <v>5.726</v>
      </c>
      <c r="AU161" s="137">
        <v>16.311</v>
      </c>
      <c r="AV161" s="137">
        <v>3.0550000000000002</v>
      </c>
      <c r="AW161" s="137">
        <v>44.817999999999998</v>
      </c>
      <c r="AX161" s="137">
        <v>3.585</v>
      </c>
      <c r="AY161" s="138">
        <v>0.71699999999999997</v>
      </c>
      <c r="AZ161" s="138">
        <v>0.11</v>
      </c>
      <c r="BA161" s="138">
        <v>0.88100000000000001</v>
      </c>
      <c r="BB161" s="138">
        <v>0.10199999999999999</v>
      </c>
      <c r="BC161" s="138">
        <v>0.94299999999999995</v>
      </c>
      <c r="BD161" s="138">
        <v>0.11600000000000001</v>
      </c>
      <c r="BE161" s="138">
        <v>0.89200000000000002</v>
      </c>
      <c r="BF161" s="138">
        <v>0.10299999999999999</v>
      </c>
      <c r="BG161" s="138">
        <v>0.13</v>
      </c>
      <c r="BH161" s="138">
        <v>3.5000000000000003E-2</v>
      </c>
    </row>
    <row r="162" spans="1:60" ht="16" x14ac:dyDescent="0.2">
      <c r="A162" s="22">
        <v>159</v>
      </c>
      <c r="B162" s="21" t="s">
        <v>257</v>
      </c>
      <c r="C162" s="113" t="s">
        <v>270</v>
      </c>
      <c r="D162" s="141">
        <v>44632</v>
      </c>
      <c r="E162" s="2" t="s">
        <v>84</v>
      </c>
      <c r="F162" s="109" t="s">
        <v>62</v>
      </c>
      <c r="G162" s="110" t="s">
        <v>6</v>
      </c>
      <c r="H162" s="2" t="s">
        <v>80</v>
      </c>
      <c r="I162" s="78" t="s">
        <v>83</v>
      </c>
      <c r="J162" s="2" t="s">
        <v>280</v>
      </c>
      <c r="K162" s="2" t="s">
        <v>5</v>
      </c>
      <c r="L162" s="22" t="s">
        <v>0</v>
      </c>
      <c r="M162" s="123">
        <v>65.400000000000006</v>
      </c>
      <c r="N162" s="116">
        <v>1.43</v>
      </c>
      <c r="O162" s="25">
        <f t="shared" si="35"/>
        <v>31.982004009976045</v>
      </c>
      <c r="P162" s="2">
        <v>1</v>
      </c>
      <c r="Q162" s="130">
        <v>3.97</v>
      </c>
      <c r="R162" s="27">
        <f t="shared" si="36"/>
        <v>1.0075566750629723</v>
      </c>
      <c r="S162" s="2" t="s">
        <v>0</v>
      </c>
      <c r="T162" s="66" t="s">
        <v>84</v>
      </c>
      <c r="U162" s="23" t="str">
        <f t="shared" si="26"/>
        <v>NO</v>
      </c>
      <c r="V162" s="123">
        <v>14.4</v>
      </c>
      <c r="W162" s="23" t="str">
        <f t="shared" si="32"/>
        <v>YES</v>
      </c>
      <c r="X162" s="66" t="s">
        <v>0</v>
      </c>
      <c r="Y162" s="23">
        <f t="shared" si="27"/>
        <v>2</v>
      </c>
      <c r="Z162" s="11">
        <v>3</v>
      </c>
      <c r="AA162" s="28">
        <f t="shared" si="28"/>
        <v>4</v>
      </c>
      <c r="AB162" s="2">
        <v>4</v>
      </c>
      <c r="AC162" s="24">
        <f t="shared" si="29"/>
        <v>11</v>
      </c>
      <c r="AD162" s="116">
        <v>12.39</v>
      </c>
      <c r="AE162" s="5">
        <v>12</v>
      </c>
      <c r="AF162" s="138">
        <v>561.12</v>
      </c>
      <c r="AG162" s="137">
        <v>967.08900000000006</v>
      </c>
      <c r="AH162" s="32">
        <v>726</v>
      </c>
      <c r="AI162" s="138">
        <v>1.4</v>
      </c>
      <c r="AJ162" s="138">
        <v>0.13500000000000001</v>
      </c>
      <c r="AK162" s="137">
        <v>11.18</v>
      </c>
      <c r="AL162" s="137">
        <v>2.19</v>
      </c>
      <c r="AM162" s="137">
        <v>42.05</v>
      </c>
      <c r="AN162" s="137">
        <v>4.24</v>
      </c>
      <c r="AO162" s="137">
        <v>18.38</v>
      </c>
      <c r="AP162" s="137">
        <v>2.21</v>
      </c>
      <c r="AQ162" s="137">
        <v>27.93</v>
      </c>
      <c r="AR162" s="137">
        <v>2.69</v>
      </c>
      <c r="AS162" s="137">
        <v>-63.948</v>
      </c>
      <c r="AT162" s="137">
        <v>8.2249999999999996</v>
      </c>
      <c r="AU162" s="137">
        <v>16.234999999999999</v>
      </c>
      <c r="AV162" s="137">
        <v>3.2280000000000002</v>
      </c>
      <c r="AW162" s="137">
        <v>42.75</v>
      </c>
      <c r="AX162" s="137">
        <v>4.8869999999999996</v>
      </c>
      <c r="AY162" s="138">
        <v>0.78400000000000003</v>
      </c>
      <c r="AZ162" s="138">
        <v>0.112</v>
      </c>
      <c r="BA162" s="138">
        <v>0.91800000000000004</v>
      </c>
      <c r="BB162" s="138">
        <v>0.18099999999999999</v>
      </c>
      <c r="BC162" s="138">
        <v>1.0820000000000001</v>
      </c>
      <c r="BD162" s="138">
        <v>0.12</v>
      </c>
      <c r="BE162" s="138">
        <v>0.93799999999999994</v>
      </c>
      <c r="BF162" s="138">
        <v>0.18099999999999999</v>
      </c>
      <c r="BG162" s="138">
        <v>0.29099999999999998</v>
      </c>
      <c r="BH162" s="138">
        <v>8.7999999999999995E-2</v>
      </c>
    </row>
    <row r="163" spans="1:60" x14ac:dyDescent="0.2">
      <c r="A163" s="22">
        <v>160</v>
      </c>
      <c r="B163" s="21" t="s">
        <v>258</v>
      </c>
      <c r="C163" s="44"/>
      <c r="D163" s="140">
        <v>44545</v>
      </c>
      <c r="E163" s="1" t="s">
        <v>0</v>
      </c>
      <c r="F163" s="109" t="s">
        <v>85</v>
      </c>
      <c r="G163" s="111">
        <v>185</v>
      </c>
      <c r="H163" s="1" t="s">
        <v>2</v>
      </c>
      <c r="I163" s="75" t="s">
        <v>83</v>
      </c>
      <c r="J163" s="1" t="s">
        <v>279</v>
      </c>
      <c r="K163" s="1" t="s">
        <v>3</v>
      </c>
      <c r="L163" s="21" t="s">
        <v>0</v>
      </c>
      <c r="M163" s="125">
        <v>58</v>
      </c>
      <c r="N163" s="118">
        <v>1.57</v>
      </c>
      <c r="O163" s="25">
        <f t="shared" si="35"/>
        <v>23.530366343462209</v>
      </c>
      <c r="P163" s="1">
        <v>2</v>
      </c>
      <c r="Q163" s="132">
        <v>3.7</v>
      </c>
      <c r="R163" s="27">
        <f>IFERROR(4/Q163,"--")</f>
        <v>1.0810810810810809</v>
      </c>
      <c r="S163" s="1" t="s">
        <v>0</v>
      </c>
      <c r="T163" s="67" t="s">
        <v>0</v>
      </c>
      <c r="U163" s="23" t="str">
        <f t="shared" si="26"/>
        <v>NO</v>
      </c>
      <c r="V163" s="125">
        <v>16</v>
      </c>
      <c r="W163" s="23" t="str">
        <f t="shared" si="32"/>
        <v>NO</v>
      </c>
      <c r="X163" s="67" t="s">
        <v>0</v>
      </c>
      <c r="Y163" s="23">
        <f t="shared" si="27"/>
        <v>0</v>
      </c>
      <c r="Z163" s="12">
        <v>4</v>
      </c>
      <c r="AA163" s="28">
        <f t="shared" si="28"/>
        <v>4</v>
      </c>
      <c r="AB163" s="1">
        <v>3</v>
      </c>
      <c r="AC163" s="24">
        <f t="shared" si="29"/>
        <v>11</v>
      </c>
      <c r="AD163" s="118">
        <v>11.7</v>
      </c>
      <c r="AE163" s="6">
        <v>10</v>
      </c>
      <c r="AF163" s="138">
        <v>637.97699999999998</v>
      </c>
      <c r="AG163" s="137">
        <v>1236.8589999999999</v>
      </c>
      <c r="AH163" s="32">
        <v>1109</v>
      </c>
      <c r="AI163" s="138">
        <v>1.1240000000000001</v>
      </c>
      <c r="AJ163" s="138">
        <v>9.2999999999999999E-2</v>
      </c>
      <c r="AK163" s="137">
        <v>11.35</v>
      </c>
      <c r="AL163" s="137">
        <v>2.65</v>
      </c>
      <c r="AM163" s="137">
        <v>44.25</v>
      </c>
      <c r="AN163" s="137">
        <v>7.69</v>
      </c>
      <c r="AO163" s="137">
        <v>14.77</v>
      </c>
      <c r="AP163" s="137">
        <v>2.11</v>
      </c>
      <c r="AQ163" s="137">
        <v>29.7</v>
      </c>
      <c r="AR163" s="137">
        <v>3.74</v>
      </c>
      <c r="AS163" s="137">
        <v>-34.091000000000001</v>
      </c>
      <c r="AT163" s="137">
        <v>5.2640000000000002</v>
      </c>
      <c r="AU163" s="137">
        <v>7.9509999999999996</v>
      </c>
      <c r="AV163" s="137">
        <v>2.0310000000000001</v>
      </c>
      <c r="AW163" s="137">
        <v>53.546999999999997</v>
      </c>
      <c r="AX163" s="137">
        <v>4.6159999999999997</v>
      </c>
      <c r="AY163" s="138">
        <v>0.74299999999999999</v>
      </c>
      <c r="AZ163" s="138">
        <v>0.13900000000000001</v>
      </c>
      <c r="BA163" s="138">
        <v>0.69199999999999995</v>
      </c>
      <c r="BB163" s="138">
        <v>0.13600000000000001</v>
      </c>
      <c r="BC163" s="138">
        <v>0.82699999999999996</v>
      </c>
      <c r="BD163" s="138">
        <v>0.13200000000000001</v>
      </c>
      <c r="BE163" s="138">
        <v>0.71</v>
      </c>
      <c r="BF163" s="138">
        <v>0.14199999999999999</v>
      </c>
      <c r="BG163" s="138">
        <v>0.28699999999999998</v>
      </c>
      <c r="BH163" s="138">
        <v>8.5999999999999993E-2</v>
      </c>
    </row>
    <row r="164" spans="1:60" x14ac:dyDescent="0.2">
      <c r="A164" s="22">
        <v>161</v>
      </c>
      <c r="B164" s="21" t="s">
        <v>259</v>
      </c>
      <c r="C164" s="44"/>
      <c r="D164" s="140">
        <v>44545</v>
      </c>
      <c r="E164" s="1" t="s">
        <v>0</v>
      </c>
      <c r="F164" s="109" t="s">
        <v>85</v>
      </c>
      <c r="G164" s="111">
        <v>185</v>
      </c>
      <c r="H164" s="1" t="s">
        <v>2</v>
      </c>
      <c r="I164" s="75" t="s">
        <v>83</v>
      </c>
      <c r="J164" s="1" t="s">
        <v>280</v>
      </c>
      <c r="K164" s="1" t="s">
        <v>3</v>
      </c>
      <c r="L164" s="21" t="s">
        <v>0</v>
      </c>
      <c r="M164" s="125">
        <v>50</v>
      </c>
      <c r="N164" s="118">
        <v>1.45</v>
      </c>
      <c r="O164" s="35">
        <f>IFERROR(M164/(N164^2),"--")</f>
        <v>23.781212841854934</v>
      </c>
      <c r="P164" s="1">
        <v>1</v>
      </c>
      <c r="Q164" s="132">
        <v>3.9</v>
      </c>
      <c r="R164" s="27">
        <f t="shared" ref="R164:R166" si="37">IFERROR(4/Q164,"--")</f>
        <v>1.0256410256410258</v>
      </c>
      <c r="S164" s="1" t="s">
        <v>0</v>
      </c>
      <c r="T164" s="67" t="s">
        <v>0</v>
      </c>
      <c r="U164" s="23" t="str">
        <f t="shared" si="26"/>
        <v>NO</v>
      </c>
      <c r="V164" s="125">
        <v>20</v>
      </c>
      <c r="W164" s="23" t="str">
        <f t="shared" si="32"/>
        <v>NO</v>
      </c>
      <c r="X164" s="67" t="s">
        <v>0</v>
      </c>
      <c r="Y164" s="23">
        <f t="shared" ref="Y164:Y166" si="38">SUM(S164="YES",T164="YES",U164="YES",W164="YES",X164="YES")</f>
        <v>0</v>
      </c>
      <c r="Z164" s="12">
        <v>4</v>
      </c>
      <c r="AA164" s="28">
        <f t="shared" si="28"/>
        <v>4</v>
      </c>
      <c r="AB164" s="1">
        <v>4</v>
      </c>
      <c r="AC164" s="24">
        <f t="shared" ref="AC164:AC166" si="39">SUM(Z164:AB164)</f>
        <v>12</v>
      </c>
      <c r="AD164" s="118">
        <v>11.6</v>
      </c>
      <c r="AE164" s="6">
        <v>7</v>
      </c>
      <c r="AF164" s="138">
        <v>619.32399999999996</v>
      </c>
      <c r="AG164" s="137">
        <v>741.89800000000002</v>
      </c>
      <c r="AH164" s="32">
        <v>759</v>
      </c>
      <c r="AI164" s="138">
        <v>0.995</v>
      </c>
      <c r="AJ164" s="138">
        <v>5.2999999999999999E-2</v>
      </c>
      <c r="AK164" s="137">
        <v>14.2</v>
      </c>
      <c r="AL164" s="137">
        <v>2.11</v>
      </c>
      <c r="AM164" s="137">
        <v>37.93</v>
      </c>
      <c r="AN164" s="137">
        <v>3.8</v>
      </c>
      <c r="AO164" s="137">
        <v>17.899999999999999</v>
      </c>
      <c r="AP164" s="137">
        <v>1.86</v>
      </c>
      <c r="AQ164" s="137">
        <v>29.8</v>
      </c>
      <c r="AR164" s="137">
        <v>2.17</v>
      </c>
      <c r="AS164" s="137">
        <v>-44.173999999999999</v>
      </c>
      <c r="AT164" s="137">
        <v>5.367</v>
      </c>
      <c r="AU164" s="137">
        <v>16.190000000000001</v>
      </c>
      <c r="AV164" s="137">
        <v>3.4769999999999999</v>
      </c>
      <c r="AW164" s="137">
        <v>60.363999999999997</v>
      </c>
      <c r="AX164" s="137">
        <v>3.6269999999999998</v>
      </c>
      <c r="AY164" s="138">
        <v>0.91700000000000004</v>
      </c>
      <c r="AZ164" s="138">
        <v>0.109</v>
      </c>
      <c r="BA164" s="138">
        <v>0.83799999999999997</v>
      </c>
      <c r="BB164" s="138">
        <v>9.1999999999999998E-2</v>
      </c>
      <c r="BC164" s="138">
        <v>0.90700000000000003</v>
      </c>
      <c r="BD164" s="138">
        <v>9.5000000000000001E-2</v>
      </c>
      <c r="BE164" s="138">
        <v>0.85499999999999998</v>
      </c>
      <c r="BF164" s="138">
        <v>9.1999999999999998E-2</v>
      </c>
      <c r="BG164" s="138">
        <v>0.19</v>
      </c>
      <c r="BH164" s="138">
        <v>0.05</v>
      </c>
    </row>
    <row r="165" spans="1:60" x14ac:dyDescent="0.2">
      <c r="A165" s="22">
        <v>162</v>
      </c>
      <c r="B165" s="21" t="s">
        <v>108</v>
      </c>
      <c r="C165" s="46"/>
      <c r="D165" s="140">
        <v>44545</v>
      </c>
      <c r="E165" s="1" t="s">
        <v>0</v>
      </c>
      <c r="F165" s="109" t="s">
        <v>85</v>
      </c>
      <c r="G165" s="111">
        <v>185</v>
      </c>
      <c r="H165" s="1" t="s">
        <v>2</v>
      </c>
      <c r="I165" s="75" t="s">
        <v>83</v>
      </c>
      <c r="J165" s="17" t="s">
        <v>283</v>
      </c>
      <c r="K165" s="17" t="s">
        <v>3</v>
      </c>
      <c r="L165" s="21" t="s">
        <v>0</v>
      </c>
      <c r="M165" s="124">
        <v>65</v>
      </c>
      <c r="N165" s="117">
        <v>1.46</v>
      </c>
      <c r="O165" s="25">
        <f t="shared" ref="O165:O166" si="40">IFERROR(M165/(N165^2),"--")</f>
        <v>30.493525989866772</v>
      </c>
      <c r="P165" s="17">
        <v>1</v>
      </c>
      <c r="Q165" s="131">
        <v>3.9</v>
      </c>
      <c r="R165" s="27">
        <f t="shared" si="37"/>
        <v>1.0256410256410258</v>
      </c>
      <c r="S165" s="1" t="s">
        <v>0</v>
      </c>
      <c r="T165" s="67" t="s">
        <v>0</v>
      </c>
      <c r="U165" s="23" t="str">
        <f t="shared" si="26"/>
        <v>NO</v>
      </c>
      <c r="V165" s="124">
        <v>15</v>
      </c>
      <c r="W165" s="23" t="str">
        <f t="shared" si="32"/>
        <v>NO</v>
      </c>
      <c r="X165" s="18" t="s">
        <v>0</v>
      </c>
      <c r="Y165" s="23">
        <f t="shared" si="38"/>
        <v>0</v>
      </c>
      <c r="Z165" s="13">
        <v>3</v>
      </c>
      <c r="AA165" s="28">
        <f t="shared" si="28"/>
        <v>4</v>
      </c>
      <c r="AB165" s="17">
        <v>4</v>
      </c>
      <c r="AC165" s="24">
        <f t="shared" si="39"/>
        <v>11</v>
      </c>
      <c r="AD165" s="117">
        <v>12.5</v>
      </c>
      <c r="AE165" s="7">
        <v>8</v>
      </c>
      <c r="AF165" s="138">
        <v>628.97</v>
      </c>
      <c r="AG165" s="137">
        <v>857.21900000000005</v>
      </c>
      <c r="AH165" s="32">
        <v>807</v>
      </c>
      <c r="AI165" s="138">
        <v>1.0760000000000001</v>
      </c>
      <c r="AJ165" s="138">
        <v>7.0999999999999994E-2</v>
      </c>
      <c r="AK165" s="137">
        <v>11.64</v>
      </c>
      <c r="AL165" s="137">
        <v>1.78</v>
      </c>
      <c r="AM165" s="137">
        <v>39.32</v>
      </c>
      <c r="AN165" s="137">
        <v>4.16</v>
      </c>
      <c r="AO165" s="137">
        <v>19.46</v>
      </c>
      <c r="AP165" s="137">
        <v>2.79</v>
      </c>
      <c r="AQ165" s="137">
        <v>29.49</v>
      </c>
      <c r="AR165" s="137">
        <v>1.91</v>
      </c>
      <c r="AS165" s="137">
        <v>-56.624000000000002</v>
      </c>
      <c r="AT165" s="137">
        <v>7.4960000000000004</v>
      </c>
      <c r="AU165" s="137">
        <v>17.5</v>
      </c>
      <c r="AV165" s="137">
        <v>3.3439999999999999</v>
      </c>
      <c r="AW165" s="137">
        <v>55.895000000000003</v>
      </c>
      <c r="AX165" s="137">
        <v>4.1950000000000003</v>
      </c>
      <c r="AY165" s="138">
        <v>0.89200000000000002</v>
      </c>
      <c r="AZ165" s="138">
        <v>0.125</v>
      </c>
      <c r="BA165" s="138">
        <v>0.79600000000000004</v>
      </c>
      <c r="BB165" s="138">
        <v>0.14099999999999999</v>
      </c>
      <c r="BC165" s="138">
        <v>0.95699999999999996</v>
      </c>
      <c r="BD165" s="138">
        <v>0.122</v>
      </c>
      <c r="BE165" s="138">
        <v>0.82099999999999995</v>
      </c>
      <c r="BF165" s="138">
        <v>0.14299999999999999</v>
      </c>
      <c r="BG165" s="138">
        <v>0.36499999999999999</v>
      </c>
      <c r="BH165" s="138">
        <v>0.108</v>
      </c>
    </row>
    <row r="166" spans="1:60" x14ac:dyDescent="0.2">
      <c r="A166" s="22">
        <v>163</v>
      </c>
      <c r="B166" s="21" t="s">
        <v>272</v>
      </c>
      <c r="C166" s="46"/>
      <c r="D166" s="140">
        <v>44545</v>
      </c>
      <c r="E166" s="1" t="s">
        <v>0</v>
      </c>
      <c r="F166" s="109" t="s">
        <v>85</v>
      </c>
      <c r="G166" s="111">
        <v>185</v>
      </c>
      <c r="H166" s="1" t="s">
        <v>2</v>
      </c>
      <c r="I166" s="75" t="s">
        <v>83</v>
      </c>
      <c r="J166" s="17" t="s">
        <v>280</v>
      </c>
      <c r="K166" s="17" t="s">
        <v>3</v>
      </c>
      <c r="L166" s="21" t="s">
        <v>0</v>
      </c>
      <c r="M166" s="124">
        <v>60.8</v>
      </c>
      <c r="N166" s="117">
        <v>1.5</v>
      </c>
      <c r="O166" s="25">
        <f t="shared" si="40"/>
        <v>27.022222222222222</v>
      </c>
      <c r="P166" s="17">
        <v>1</v>
      </c>
      <c r="Q166" s="131">
        <v>4.0999999999999996</v>
      </c>
      <c r="R166" s="27">
        <f t="shared" si="37"/>
        <v>0.97560975609756106</v>
      </c>
      <c r="S166" s="17" t="s">
        <v>0</v>
      </c>
      <c r="T166" s="67" t="s">
        <v>0</v>
      </c>
      <c r="U166" s="23" t="str">
        <f t="shared" si="26"/>
        <v>NO</v>
      </c>
      <c r="V166" s="124">
        <v>12</v>
      </c>
      <c r="W166" s="23" t="str">
        <f t="shared" si="32"/>
        <v>NO</v>
      </c>
      <c r="X166" s="18" t="s">
        <v>0</v>
      </c>
      <c r="Y166" s="23">
        <f t="shared" si="38"/>
        <v>0</v>
      </c>
      <c r="Z166" s="13">
        <v>4</v>
      </c>
      <c r="AA166" s="28">
        <f t="shared" si="28"/>
        <v>4</v>
      </c>
      <c r="AB166" s="17">
        <v>3</v>
      </c>
      <c r="AC166" s="24">
        <f t="shared" si="39"/>
        <v>11</v>
      </c>
      <c r="AD166" s="117">
        <v>11.6</v>
      </c>
      <c r="AE166" s="7">
        <v>7</v>
      </c>
      <c r="AF166" s="138">
        <v>722.33</v>
      </c>
      <c r="AG166" s="137">
        <v>859.09400000000005</v>
      </c>
      <c r="AH166" s="32">
        <v>743</v>
      </c>
      <c r="AI166" s="138">
        <v>1.1639999999999999</v>
      </c>
      <c r="AJ166" s="138">
        <v>7.8E-2</v>
      </c>
      <c r="AK166" s="137">
        <v>13.41</v>
      </c>
      <c r="AL166" s="137">
        <v>1.53</v>
      </c>
      <c r="AM166" s="137">
        <v>39.799999999999997</v>
      </c>
      <c r="AN166" s="137">
        <v>2.89</v>
      </c>
      <c r="AO166" s="137">
        <v>16.38</v>
      </c>
      <c r="AP166" s="137">
        <v>1.58</v>
      </c>
      <c r="AQ166" s="137">
        <v>30.4</v>
      </c>
      <c r="AR166" s="137">
        <v>1.99</v>
      </c>
      <c r="AS166" s="137">
        <v>-56.731000000000002</v>
      </c>
      <c r="AT166" s="137">
        <v>5.6539999999999999</v>
      </c>
      <c r="AU166" s="137">
        <v>13.695</v>
      </c>
      <c r="AV166" s="137">
        <v>2.6280000000000001</v>
      </c>
      <c r="AW166" s="137">
        <v>51.655999999999999</v>
      </c>
      <c r="AX166" s="137">
        <v>3.5720000000000001</v>
      </c>
      <c r="AY166" s="138">
        <v>0.93600000000000005</v>
      </c>
      <c r="AZ166" s="138">
        <v>9.5000000000000001E-2</v>
      </c>
      <c r="BA166" s="138">
        <v>0.99199999999999999</v>
      </c>
      <c r="BB166" s="138">
        <v>7.9000000000000001E-2</v>
      </c>
      <c r="BC166" s="138">
        <v>1.0840000000000001</v>
      </c>
      <c r="BD166" s="138">
        <v>8.5999999999999993E-2</v>
      </c>
      <c r="BE166" s="138">
        <v>1.02</v>
      </c>
      <c r="BF166" s="138">
        <v>8.4000000000000005E-2</v>
      </c>
      <c r="BG166" s="138">
        <v>0.19400000000000001</v>
      </c>
      <c r="BH166" s="138">
        <v>5.7000000000000002E-2</v>
      </c>
    </row>
  </sheetData>
  <mergeCells count="7">
    <mergeCell ref="AF1:AR1"/>
    <mergeCell ref="B1:I1"/>
    <mergeCell ref="Z1:AC1"/>
    <mergeCell ref="M1:P1"/>
    <mergeCell ref="J1:L1"/>
    <mergeCell ref="Q1:R1"/>
    <mergeCell ref="S1:Y1"/>
  </mergeCells>
  <phoneticPr fontId="5" type="noConversion"/>
  <conditionalFormatting sqref="Q4:BH166">
    <cfRule type="containsBlanks" dxfId="57" priority="1">
      <formula>LEN(TRIM(Q4))=0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q1n9 xmlns="4d98056b-eac3-49fd-9308-86d14829ef4a" xsi:nil="true"/>
    <qt5t xmlns="4d98056b-eac3-49fd-9308-86d14829ef4a" xsi:nil="true"/>
    <lcf76f155ced4ddcb4097134ff3c332f xmlns="4d98056b-eac3-49fd-9308-86d14829ef4a">
      <Terms xmlns="http://schemas.microsoft.com/office/infopath/2007/PartnerControls"/>
    </lcf76f155ced4ddcb4097134ff3c332f>
    <TaxCatchAll xmlns="fc97544a-575c-49f3-ac1a-2b46a16f940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A07F4730CCCF4E8A2546C3F3438220" ma:contentTypeVersion="18" ma:contentTypeDescription="Crear nuevo documento." ma:contentTypeScope="" ma:versionID="e6a48557a8dd641901b66937263366b2">
  <xsd:schema xmlns:xsd="http://www.w3.org/2001/XMLSchema" xmlns:xs="http://www.w3.org/2001/XMLSchema" xmlns:p="http://schemas.microsoft.com/office/2006/metadata/properties" xmlns:ns2="4d98056b-eac3-49fd-9308-86d14829ef4a" xmlns:ns3="fc97544a-575c-49f3-ac1a-2b46a16f9400" targetNamespace="http://schemas.microsoft.com/office/2006/metadata/properties" ma:root="true" ma:fieldsID="be3fecfcf532ff25d4f4f93be5a5ab6a" ns2:_="" ns3:_="">
    <xsd:import namespace="4d98056b-eac3-49fd-9308-86d14829ef4a"/>
    <xsd:import namespace="fc97544a-575c-49f3-ac1a-2b46a16f9400"/>
    <xsd:element name="properties">
      <xsd:complexType>
        <xsd:sequence>
          <xsd:element name="documentManagement">
            <xsd:complexType>
              <xsd:all>
                <xsd:element ref="ns2:q1n9" minOccurs="0"/>
                <xsd:element ref="ns2:qt5t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98056b-eac3-49fd-9308-86d14829ef4a" elementFormDefault="qualified">
    <xsd:import namespace="http://schemas.microsoft.com/office/2006/documentManagement/types"/>
    <xsd:import namespace="http://schemas.microsoft.com/office/infopath/2007/PartnerControls"/>
    <xsd:element name="q1n9" ma:index="8" nillable="true" ma:displayName="Número" ma:internalName="q1n9">
      <xsd:simpleType>
        <xsd:restriction base="dms:Number"/>
      </xsd:simpleType>
    </xsd:element>
    <xsd:element name="qt5t" ma:index="9" nillable="true" ma:displayName="Fecha y hora" ma:internalName="qt5t">
      <xsd:simpleType>
        <xsd:restriction base="dms:DateTim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Etiquetas de imagen" ma:readOnly="false" ma:fieldId="{5cf76f15-5ced-4ddc-b409-7134ff3c332f}" ma:taxonomyMulti="true" ma:sspId="6b79bab5-423c-41bb-b2a6-fa644551ea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97544a-575c-49f3-ac1a-2b46a16f940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60017003-d63f-41ad-8e85-0a82a848eb11}" ma:internalName="TaxCatchAll" ma:showField="CatchAllData" ma:web="fc97544a-575c-49f3-ac1a-2b46a16f94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E8A64C-D11A-40E3-9766-F8CE902077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060EF1-6891-417F-9B0B-5368F31B254B}">
  <ds:schemaRefs>
    <ds:schemaRef ds:uri="http://schemas.microsoft.com/office/2006/metadata/properties"/>
    <ds:schemaRef ds:uri="http://schemas.microsoft.com/office/infopath/2007/PartnerControls"/>
    <ds:schemaRef ds:uri="4d98056b-eac3-49fd-9308-86d14829ef4a"/>
    <ds:schemaRef ds:uri="fc97544a-575c-49f3-ac1a-2b46a16f9400"/>
  </ds:schemaRefs>
</ds:datastoreItem>
</file>

<file path=customXml/itemProps3.xml><?xml version="1.0" encoding="utf-8"?>
<ds:datastoreItem xmlns:ds="http://schemas.openxmlformats.org/officeDocument/2006/customXml" ds:itemID="{9780C53F-1FA0-4674-88D8-9FBF4AAD6B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98056b-eac3-49fd-9308-86d14829ef4a"/>
    <ds:schemaRef ds:uri="fc97544a-575c-49f3-ac1a-2b46a16f94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PruebasGSTRIDE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Guillermo Garcia-Villamil</dc:creator>
  <cp:keywords/>
  <dc:description/>
  <cp:lastModifiedBy>Microsoft Office User</cp:lastModifiedBy>
  <cp:revision/>
  <dcterms:created xsi:type="dcterms:W3CDTF">2015-06-05T18:17:20Z</dcterms:created>
  <dcterms:modified xsi:type="dcterms:W3CDTF">2026-07-16T23:52:32Z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0x010100F7A07F4730CCCF4E8A2546C3F3438220</vt:lpwstr>
  </property>
</Properties>
</file>